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\Desktop\Pasta Geral\0 - Antunes\Planilhas\"/>
    </mc:Choice>
  </mc:AlternateContent>
  <xr:revisionPtr revIDLastSave="0" documentId="13_ncr:1_{0FB390E4-B2EC-4EA0-8E8D-8FE216849298}" xr6:coauthVersionLast="47" xr6:coauthVersionMax="47" xr10:uidLastSave="{00000000-0000-0000-0000-000000000000}"/>
  <bookViews>
    <workbookView xWindow="-120" yWindow="-120" windowWidth="29040" windowHeight="15720" tabRatio="786" xr2:uid="{3784A4AE-152C-4AF4-93D4-216D06209999}"/>
  </bookViews>
  <sheets>
    <sheet name="Livros Finalizados" sheetId="6" r:id="rId1"/>
    <sheet name="Leitura Conjunta - Diana" sheetId="7" r:id="rId2"/>
    <sheet name="Leitura Ano Mês" sheetId="8" r:id="rId3"/>
    <sheet name="Biblioteca" sheetId="11" r:id="rId4"/>
  </sheets>
  <definedNames>
    <definedName name="_xlnm._FilterDatabase" localSheetId="3" hidden="1">Biblioteca!#REF!</definedName>
    <definedName name="_xlnm._FilterDatabase" localSheetId="1" hidden="1">'Leitura Conjunta - Diana'!$P$14:$Q$26</definedName>
    <definedName name="_xlnm._FilterDatabase" localSheetId="0" hidden="1">'Livros Finalizados'!$A$1:$M$196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I4" i="7"/>
  <c r="J6" i="6"/>
  <c r="J7" i="6"/>
  <c r="J8" i="6"/>
  <c r="J9" i="6"/>
  <c r="N5" i="7"/>
  <c r="I5" i="7"/>
  <c r="J10" i="6"/>
  <c r="J11" i="6"/>
  <c r="N6" i="7"/>
  <c r="I6" i="7"/>
  <c r="J12" i="6"/>
  <c r="J13" i="6"/>
  <c r="N7" i="7"/>
  <c r="J14" i="6"/>
  <c r="J15" i="6"/>
  <c r="J16" i="6"/>
  <c r="P30" i="8"/>
  <c r="P29" i="8"/>
  <c r="P28" i="8"/>
  <c r="P27" i="8"/>
  <c r="P26" i="8"/>
  <c r="P25" i="8"/>
  <c r="P24" i="8"/>
  <c r="P23" i="8"/>
  <c r="P22" i="8"/>
  <c r="P21" i="8"/>
  <c r="P20" i="8"/>
  <c r="P19" i="8"/>
  <c r="I7" i="7"/>
  <c r="J17" i="6"/>
  <c r="N8" i="7"/>
  <c r="I8" i="7"/>
  <c r="J18" i="6"/>
  <c r="J19" i="6"/>
  <c r="N9" i="7" l="1"/>
  <c r="N10" i="7"/>
  <c r="I9" i="7"/>
  <c r="J20" i="6"/>
  <c r="J21" i="6"/>
  <c r="I10" i="7"/>
  <c r="J22" i="6"/>
  <c r="J23" i="6"/>
  <c r="N11" i="7"/>
  <c r="I11" i="7"/>
  <c r="J24" i="6"/>
  <c r="J25" i="6"/>
  <c r="J26" i="6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N6" i="11"/>
  <c r="N5" i="11"/>
  <c r="N4" i="11"/>
  <c r="N8" i="11"/>
  <c r="K20" i="11" l="1"/>
  <c r="N7" i="11"/>
  <c r="N12" i="7" l="1"/>
  <c r="I12" i="7"/>
  <c r="J27" i="6"/>
  <c r="J28" i="6"/>
  <c r="N13" i="7"/>
  <c r="I13" i="7"/>
  <c r="J29" i="6"/>
  <c r="J30" i="6"/>
  <c r="N14" i="7"/>
  <c r="I14" i="7"/>
  <c r="J32" i="6"/>
  <c r="J31" i="6"/>
  <c r="N30" i="8"/>
  <c r="N29" i="8"/>
  <c r="N28" i="8"/>
  <c r="N27" i="8"/>
  <c r="N26" i="8"/>
  <c r="N25" i="8"/>
  <c r="N24" i="8"/>
  <c r="N23" i="8"/>
  <c r="N22" i="8"/>
  <c r="N21" i="8"/>
  <c r="N20" i="8"/>
  <c r="N19" i="8"/>
  <c r="V22" i="6"/>
  <c r="U22" i="6"/>
  <c r="T22" i="6"/>
  <c r="S22" i="6"/>
  <c r="R22" i="6"/>
  <c r="Q22" i="6"/>
  <c r="P22" i="6"/>
  <c r="V21" i="6"/>
  <c r="W21" i="6" s="1"/>
  <c r="U21" i="6"/>
  <c r="T21" i="6"/>
  <c r="S21" i="6"/>
  <c r="R21" i="6"/>
  <c r="Q21" i="6"/>
  <c r="P21" i="6"/>
  <c r="W9" i="7"/>
  <c r="V9" i="7"/>
  <c r="U9" i="7"/>
  <c r="T9" i="7"/>
  <c r="S9" i="7"/>
  <c r="R9" i="7"/>
  <c r="Q9" i="7"/>
  <c r="W8" i="7"/>
  <c r="X8" i="7" s="1"/>
  <c r="V8" i="7"/>
  <c r="U8" i="7"/>
  <c r="T8" i="7"/>
  <c r="S8" i="7"/>
  <c r="R8" i="7"/>
  <c r="Q8" i="7"/>
  <c r="N15" i="7"/>
  <c r="I15" i="7"/>
  <c r="J33" i="6"/>
  <c r="J34" i="6"/>
  <c r="J35" i="6"/>
  <c r="J36" i="6"/>
  <c r="N16" i="7"/>
  <c r="I16" i="7"/>
  <c r="J37" i="6"/>
  <c r="J38" i="6"/>
  <c r="J39" i="6"/>
  <c r="N17" i="7"/>
  <c r="I17" i="7"/>
  <c r="J40" i="6"/>
  <c r="J41" i="6"/>
  <c r="J42" i="6" l="1"/>
  <c r="N18" i="7"/>
  <c r="I18" i="7"/>
  <c r="N19" i="7"/>
  <c r="I19" i="7"/>
  <c r="J43" i="6"/>
  <c r="J44" i="6"/>
  <c r="J45" i="6"/>
  <c r="J46" i="6"/>
  <c r="J47" i="6"/>
  <c r="N20" i="7"/>
  <c r="J48" i="6"/>
  <c r="J49" i="6"/>
  <c r="J50" i="6"/>
  <c r="I20" i="7"/>
  <c r="J51" i="6"/>
  <c r="J53" i="6"/>
  <c r="J52" i="6"/>
  <c r="J54" i="6"/>
  <c r="N21" i="7"/>
  <c r="N22" i="7"/>
  <c r="N23" i="7"/>
  <c r="N24" i="7"/>
  <c r="N25" i="7"/>
  <c r="N26" i="7"/>
  <c r="N27" i="7"/>
  <c r="N28" i="7"/>
  <c r="X17" i="7"/>
  <c r="X16" i="7"/>
  <c r="X15" i="7"/>
  <c r="T36" i="6"/>
  <c r="T35" i="6"/>
  <c r="T34" i="6"/>
  <c r="T33" i="6"/>
  <c r="T32" i="6"/>
  <c r="T31" i="6"/>
  <c r="T30" i="6"/>
  <c r="T29" i="6"/>
  <c r="T28" i="6"/>
  <c r="L30" i="8"/>
  <c r="L29" i="8"/>
  <c r="L28" i="8"/>
  <c r="L27" i="8"/>
  <c r="L26" i="8"/>
  <c r="L25" i="8"/>
  <c r="L24" i="8"/>
  <c r="L23" i="8"/>
  <c r="L22" i="8"/>
  <c r="L21" i="8"/>
  <c r="L20" i="8"/>
  <c r="L19" i="8"/>
  <c r="J30" i="8"/>
  <c r="J29" i="8"/>
  <c r="J28" i="8"/>
  <c r="J27" i="8"/>
  <c r="J26" i="8"/>
  <c r="J25" i="8"/>
  <c r="J24" i="8"/>
  <c r="J23" i="8"/>
  <c r="J22" i="8"/>
  <c r="J21" i="8"/>
  <c r="J20" i="8"/>
  <c r="J19" i="8"/>
  <c r="H30" i="8"/>
  <c r="H29" i="8"/>
  <c r="H28" i="8"/>
  <c r="H27" i="8"/>
  <c r="H26" i="8"/>
  <c r="H25" i="8"/>
  <c r="H24" i="8"/>
  <c r="H23" i="8"/>
  <c r="H22" i="8"/>
  <c r="H21" i="8"/>
  <c r="H20" i="8"/>
  <c r="H19" i="8"/>
  <c r="F30" i="8"/>
  <c r="F29" i="8"/>
  <c r="F28" i="8"/>
  <c r="F27" i="8"/>
  <c r="F26" i="8"/>
  <c r="F25" i="8"/>
  <c r="F24" i="8"/>
  <c r="F23" i="8"/>
  <c r="F22" i="8"/>
  <c r="F21" i="8"/>
  <c r="F20" i="8"/>
  <c r="F19" i="8"/>
  <c r="D30" i="8"/>
  <c r="D29" i="8"/>
  <c r="D28" i="8"/>
  <c r="D27" i="8"/>
  <c r="D26" i="8"/>
  <c r="D25" i="8"/>
  <c r="D24" i="8"/>
  <c r="D23" i="8"/>
  <c r="D22" i="8"/>
  <c r="D21" i="8"/>
  <c r="V5" i="8"/>
  <c r="D20" i="8"/>
  <c r="D19" i="8"/>
  <c r="V15" i="8"/>
  <c r="V14" i="8"/>
  <c r="V13" i="8"/>
  <c r="V12" i="8"/>
  <c r="V11" i="8"/>
  <c r="V10" i="8"/>
  <c r="V9" i="8"/>
  <c r="V8" i="8"/>
  <c r="V7" i="8"/>
  <c r="V6" i="8"/>
  <c r="V4" i="8"/>
  <c r="T15" i="8"/>
  <c r="T14" i="8"/>
  <c r="T13" i="8"/>
  <c r="T12" i="8"/>
  <c r="T11" i="8"/>
  <c r="T10" i="8"/>
  <c r="T9" i="8"/>
  <c r="T8" i="8"/>
  <c r="T7" i="8"/>
  <c r="T6" i="8"/>
  <c r="T5" i="8"/>
  <c r="T4" i="8"/>
  <c r="R15" i="8"/>
  <c r="R14" i="8"/>
  <c r="R13" i="8"/>
  <c r="R12" i="8"/>
  <c r="R11" i="8"/>
  <c r="R10" i="8"/>
  <c r="R9" i="8"/>
  <c r="R8" i="8"/>
  <c r="R7" i="8"/>
  <c r="R6" i="8"/>
  <c r="R5" i="8"/>
  <c r="R4" i="8"/>
  <c r="P15" i="8"/>
  <c r="P14" i="8"/>
  <c r="P13" i="8"/>
  <c r="P12" i="8"/>
  <c r="P11" i="8"/>
  <c r="P10" i="8"/>
  <c r="P9" i="8"/>
  <c r="P8" i="8"/>
  <c r="P7" i="8"/>
  <c r="P6" i="8"/>
  <c r="P5" i="8"/>
  <c r="N5" i="8"/>
  <c r="P4" i="8"/>
  <c r="N15" i="8"/>
  <c r="N14" i="8"/>
  <c r="N13" i="8"/>
  <c r="N12" i="8"/>
  <c r="N11" i="8"/>
  <c r="N10" i="8"/>
  <c r="N9" i="8"/>
  <c r="N8" i="8"/>
  <c r="N7" i="8"/>
  <c r="N6" i="8"/>
  <c r="N4" i="8"/>
  <c r="U23" i="7" l="1"/>
  <c r="U19" i="7"/>
  <c r="U17" i="7"/>
  <c r="U18" i="7"/>
  <c r="U20" i="7"/>
  <c r="U15" i="7"/>
  <c r="U16" i="7"/>
  <c r="U21" i="7"/>
  <c r="U22" i="7"/>
  <c r="X18" i="7"/>
  <c r="T37" i="6"/>
  <c r="L15" i="8"/>
  <c r="L14" i="8"/>
  <c r="L13" i="8"/>
  <c r="L12" i="8"/>
  <c r="L11" i="8"/>
  <c r="L10" i="8"/>
  <c r="L9" i="8"/>
  <c r="L8" i="8"/>
  <c r="L7" i="8"/>
  <c r="L6" i="8"/>
  <c r="L5" i="8"/>
  <c r="L4" i="8"/>
  <c r="J8" i="8"/>
  <c r="H8" i="8"/>
  <c r="F8" i="8"/>
  <c r="D8" i="8"/>
  <c r="J5" i="8"/>
  <c r="J14" i="8"/>
  <c r="J13" i="8"/>
  <c r="J12" i="8"/>
  <c r="J11" i="8"/>
  <c r="J10" i="8"/>
  <c r="J9" i="8"/>
  <c r="J7" i="8"/>
  <c r="J6" i="8"/>
  <c r="J4" i="8"/>
  <c r="H15" i="8"/>
  <c r="H14" i="8"/>
  <c r="H13" i="8"/>
  <c r="H12" i="8"/>
  <c r="H11" i="8"/>
  <c r="H10" i="8"/>
  <c r="H9" i="8"/>
  <c r="H7" i="8"/>
  <c r="H6" i="8"/>
  <c r="H5" i="8"/>
  <c r="H4" i="8"/>
  <c r="F15" i="8"/>
  <c r="F14" i="8"/>
  <c r="F13" i="8"/>
  <c r="F12" i="8"/>
  <c r="F11" i="8"/>
  <c r="F10" i="8"/>
  <c r="F9" i="8"/>
  <c r="F7" i="8"/>
  <c r="F6" i="8"/>
  <c r="F5" i="8"/>
  <c r="F4" i="8"/>
  <c r="D15" i="8"/>
  <c r="D14" i="8"/>
  <c r="D13" i="8"/>
  <c r="D11" i="8"/>
  <c r="D10" i="8"/>
  <c r="D9" i="8"/>
  <c r="D7" i="8"/>
  <c r="D6" i="8"/>
  <c r="D5" i="8"/>
  <c r="D4" i="8"/>
  <c r="D12" i="8"/>
  <c r="J15" i="8"/>
  <c r="F31" i="8"/>
  <c r="Y4" i="8" l="1"/>
  <c r="Y13" i="8"/>
  <c r="Y14" i="8"/>
  <c r="Y6" i="8"/>
  <c r="Y12" i="8"/>
  <c r="Y5" i="8"/>
  <c r="Y7" i="8"/>
  <c r="Y11" i="8"/>
  <c r="Y8" i="8"/>
  <c r="Y9" i="8"/>
  <c r="Y10" i="8"/>
  <c r="Y15" i="8"/>
  <c r="U24" i="7"/>
  <c r="F16" i="8"/>
  <c r="V31" i="8" l="1"/>
  <c r="T31" i="8"/>
  <c r="R31" i="8"/>
  <c r="P31" i="8"/>
  <c r="N31" i="8"/>
  <c r="L31" i="8"/>
  <c r="J31" i="8"/>
  <c r="H31" i="8"/>
  <c r="D31" i="8"/>
  <c r="V16" i="8"/>
  <c r="T16" i="8"/>
  <c r="R16" i="8"/>
  <c r="P16" i="8"/>
  <c r="N16" i="8"/>
  <c r="L16" i="8"/>
  <c r="J16" i="8"/>
  <c r="H16" i="8"/>
  <c r="D16" i="8"/>
  <c r="Y18" i="8" l="1"/>
  <c r="Y16" i="8"/>
  <c r="J55" i="6"/>
  <c r="J56" i="6"/>
  <c r="I21" i="7"/>
  <c r="J57" i="6"/>
  <c r="J58" i="6"/>
  <c r="I22" i="7"/>
  <c r="J59" i="6"/>
  <c r="J60" i="6"/>
  <c r="J61" i="6"/>
  <c r="I23" i="7"/>
  <c r="J62" i="6"/>
  <c r="J63" i="6"/>
  <c r="J64" i="6"/>
  <c r="J65" i="6"/>
  <c r="J66" i="6"/>
  <c r="J67" i="6"/>
  <c r="J68" i="6"/>
  <c r="Q26" i="7"/>
  <c r="Q25" i="7"/>
  <c r="Q24" i="7"/>
  <c r="Q23" i="7"/>
  <c r="Q22" i="7"/>
  <c r="Q21" i="7"/>
  <c r="Q20" i="7"/>
  <c r="Q19" i="7"/>
  <c r="I28" i="7"/>
  <c r="Q18" i="7"/>
  <c r="Q17" i="7"/>
  <c r="Q16" i="7"/>
  <c r="Q15" i="7"/>
  <c r="I27" i="7"/>
  <c r="X9" i="7"/>
  <c r="W7" i="7"/>
  <c r="X7" i="7" s="1"/>
  <c r="V7" i="7"/>
  <c r="U7" i="7"/>
  <c r="T7" i="7"/>
  <c r="S7" i="7"/>
  <c r="R7" i="7"/>
  <c r="Q7" i="7"/>
  <c r="I26" i="7"/>
  <c r="I25" i="7"/>
  <c r="I24" i="7"/>
  <c r="W4" i="7"/>
  <c r="U4" i="7"/>
  <c r="T4" i="7"/>
  <c r="S4" i="7"/>
  <c r="R4" i="7"/>
  <c r="Q4" i="7"/>
  <c r="J69" i="6"/>
  <c r="V4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4" i="6"/>
  <c r="S4" i="6"/>
  <c r="J71" i="6"/>
  <c r="J72" i="6"/>
  <c r="J70" i="6"/>
  <c r="J73" i="6"/>
  <c r="J74" i="6"/>
  <c r="J75" i="6"/>
  <c r="J76" i="6"/>
  <c r="J77" i="6"/>
  <c r="J78" i="6"/>
  <c r="X4" i="7" l="1"/>
  <c r="Q12" i="7"/>
  <c r="U12" i="7"/>
  <c r="T12" i="7"/>
  <c r="V12" i="7"/>
  <c r="X12" i="7" s="1"/>
  <c r="R12" i="7"/>
  <c r="S12" i="7"/>
  <c r="Q27" i="7"/>
  <c r="V4" i="7"/>
  <c r="W12" i="7"/>
  <c r="U25" i="6"/>
  <c r="W25" i="6" s="1"/>
  <c r="T25" i="6"/>
  <c r="W22" i="6"/>
  <c r="V20" i="6"/>
  <c r="W20" i="6" s="1"/>
  <c r="S20" i="6"/>
  <c r="R20" i="6"/>
  <c r="Q20" i="6"/>
  <c r="P20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P28" i="6"/>
  <c r="P39" i="6"/>
  <c r="P38" i="6"/>
  <c r="P37" i="6"/>
  <c r="P36" i="6"/>
  <c r="P35" i="6"/>
  <c r="P34" i="6"/>
  <c r="P33" i="6"/>
  <c r="P32" i="6"/>
  <c r="P31" i="6"/>
  <c r="P30" i="6"/>
  <c r="P29" i="6"/>
  <c r="Q4" i="6"/>
  <c r="P4" i="6"/>
  <c r="R4" i="6"/>
  <c r="U4" i="6" l="1"/>
  <c r="P4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V19" i="6"/>
  <c r="W19" i="6" s="1"/>
  <c r="V18" i="6"/>
  <c r="W18" i="6" s="1"/>
  <c r="V17" i="6"/>
  <c r="W17" i="6" s="1"/>
  <c r="V16" i="6"/>
  <c r="W16" i="6" s="1"/>
  <c r="V15" i="6"/>
  <c r="W15" i="6" s="1"/>
  <c r="V14" i="6"/>
  <c r="W14" i="6" s="1"/>
  <c r="V13" i="6"/>
  <c r="W13" i="6" s="1"/>
  <c r="V12" i="6"/>
  <c r="W12" i="6" s="1"/>
  <c r="V11" i="6"/>
  <c r="W11" i="6" s="1"/>
  <c r="V10" i="6"/>
  <c r="W10" i="6" s="1"/>
  <c r="V9" i="6"/>
  <c r="W9" i="6" s="1"/>
  <c r="V8" i="6"/>
  <c r="W8" i="6" s="1"/>
  <c r="V7" i="6"/>
  <c r="W7" i="6" l="1"/>
  <c r="W4" i="6" s="1"/>
  <c r="V25" i="6"/>
  <c r="S25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R25" i="6" l="1"/>
  <c r="Q25" i="6"/>
  <c r="P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Antunes</author>
  </authors>
  <commentList>
    <comment ref="A6" authorId="0" shapeId="0" xr:uid="{A5A71927-712E-4C25-BB01-8884A09B3012}">
      <text>
        <r>
          <rPr>
            <b/>
            <sz val="9"/>
            <color indexed="81"/>
            <rFont val="Segoe UI"/>
            <charset val="1"/>
          </rPr>
          <t>LC - Diana - 25</t>
        </r>
      </text>
    </comment>
    <comment ref="A10" authorId="0" shapeId="0" xr:uid="{94A30B7F-12F9-43F3-A32E-C175504BAE44}">
      <text>
        <r>
          <rPr>
            <b/>
            <sz val="9"/>
            <color indexed="81"/>
            <rFont val="Segoe UI"/>
            <charset val="1"/>
          </rPr>
          <t>LC - Diana - 24</t>
        </r>
      </text>
    </comment>
    <comment ref="A12" authorId="0" shapeId="0" xr:uid="{F8956361-7AD5-407C-B4CE-99CFD7384890}">
      <text>
        <r>
          <rPr>
            <b/>
            <sz val="9"/>
            <color indexed="81"/>
            <rFont val="Segoe UI"/>
            <family val="2"/>
          </rPr>
          <t>LC - Diana - 23</t>
        </r>
      </text>
    </comment>
    <comment ref="A17" authorId="0" shapeId="0" xr:uid="{B1302AEE-BF2E-4126-8D65-8F4F5D00C24A}">
      <text>
        <r>
          <rPr>
            <b/>
            <sz val="9"/>
            <color indexed="81"/>
            <rFont val="Segoe UI"/>
            <family val="2"/>
          </rPr>
          <t>LC - Diana - 22</t>
        </r>
      </text>
    </comment>
    <comment ref="A18" authorId="0" shapeId="0" xr:uid="{8578A618-E0E8-4F8A-ADB3-2516E46EA879}">
      <text>
        <r>
          <rPr>
            <b/>
            <sz val="9"/>
            <color indexed="81"/>
            <rFont val="Segoe UI"/>
            <family val="2"/>
          </rPr>
          <t>LC - Diana - 21</t>
        </r>
      </text>
    </comment>
    <comment ref="A20" authorId="0" shapeId="0" xr:uid="{6FC55F33-2827-451C-9B9E-8B8E057F4F38}">
      <text>
        <r>
          <rPr>
            <b/>
            <sz val="9"/>
            <color indexed="81"/>
            <rFont val="Segoe UI"/>
            <family val="2"/>
          </rPr>
          <t>LC - Diana - 20</t>
        </r>
      </text>
    </comment>
    <comment ref="A22" authorId="0" shapeId="0" xr:uid="{8678ED65-5829-4687-BC31-C875763358BF}">
      <text>
        <r>
          <rPr>
            <b/>
            <sz val="9"/>
            <color indexed="81"/>
            <rFont val="Segoe UI"/>
            <family val="2"/>
          </rPr>
          <t>LC - Diana - 19</t>
        </r>
      </text>
    </comment>
    <comment ref="A25" authorId="0" shapeId="0" xr:uid="{AE56F69D-1A6E-4B3C-8913-795C79D81088}">
      <text>
        <r>
          <rPr>
            <b/>
            <sz val="9"/>
            <color indexed="81"/>
            <rFont val="Segoe UI"/>
            <family val="2"/>
          </rPr>
          <t>LC - Diana - 18</t>
        </r>
      </text>
    </comment>
    <comment ref="A27" authorId="0" shapeId="0" xr:uid="{C9AFCB09-6516-488C-9FDD-4E547FA91201}">
      <text>
        <r>
          <rPr>
            <b/>
            <sz val="9"/>
            <color indexed="81"/>
            <rFont val="Segoe UI"/>
            <family val="2"/>
          </rPr>
          <t>LC - Diana - 17</t>
        </r>
      </text>
    </comment>
    <comment ref="A29" authorId="0" shapeId="0" xr:uid="{47EFF908-B546-41FE-A5B4-CC7DDBFE9EBD}">
      <text>
        <r>
          <rPr>
            <b/>
            <sz val="9"/>
            <color indexed="81"/>
            <rFont val="Segoe UI"/>
            <family val="2"/>
          </rPr>
          <t>LC - Diana - 16</t>
        </r>
      </text>
    </comment>
    <comment ref="A31" authorId="0" shapeId="0" xr:uid="{8F2EF8CB-66F7-4512-9928-A52BF17875CB}">
      <text>
        <r>
          <rPr>
            <b/>
            <sz val="9"/>
            <color indexed="81"/>
            <rFont val="Segoe UI"/>
            <family val="2"/>
          </rPr>
          <t>LC - Diana - 15</t>
        </r>
      </text>
    </comment>
    <comment ref="A33" authorId="0" shapeId="0" xr:uid="{607A313C-767E-4A30-B99E-90C4EB7348C8}">
      <text>
        <r>
          <rPr>
            <b/>
            <sz val="9"/>
            <color indexed="81"/>
            <rFont val="Segoe UI"/>
            <family val="2"/>
          </rPr>
          <t>LC - Diana - 14</t>
        </r>
      </text>
    </comment>
    <comment ref="A37" authorId="0" shapeId="0" xr:uid="{B7366F61-0D1E-48A5-8305-F27FF2C6621C}">
      <text>
        <r>
          <rPr>
            <b/>
            <sz val="9"/>
            <color indexed="81"/>
            <rFont val="Segoe UI"/>
            <family val="2"/>
          </rPr>
          <t>LC - Diana - 13</t>
        </r>
      </text>
    </comment>
    <comment ref="A40" authorId="0" shapeId="0" xr:uid="{3FDBE27D-F2EF-454C-B5AA-52D0D394D7D0}">
      <text>
        <r>
          <rPr>
            <b/>
            <sz val="9"/>
            <color indexed="81"/>
            <rFont val="Segoe UI"/>
            <family val="2"/>
          </rPr>
          <t>LC - Diana - 12</t>
        </r>
      </text>
    </comment>
    <comment ref="A42" authorId="0" shapeId="0" xr:uid="{3C0AA5A6-6313-4F18-9D68-D391EC00D2EF}">
      <text>
        <r>
          <rPr>
            <b/>
            <sz val="9"/>
            <color indexed="81"/>
            <rFont val="Segoe UI"/>
            <family val="2"/>
          </rPr>
          <t>LC - Diana - 11</t>
        </r>
      </text>
    </comment>
    <comment ref="A43" authorId="0" shapeId="0" xr:uid="{5DAF2DBC-1045-4215-8415-E7522B605552}">
      <text>
        <r>
          <rPr>
            <b/>
            <sz val="9"/>
            <color indexed="81"/>
            <rFont val="Segoe UI"/>
            <family val="2"/>
          </rPr>
          <t>LC - Diana - 10</t>
        </r>
      </text>
    </comment>
    <comment ref="A52" authorId="0" shapeId="0" xr:uid="{C7E3B298-21F7-4022-B18E-12DA38C0A01E}">
      <text>
        <r>
          <rPr>
            <b/>
            <sz val="9"/>
            <color indexed="81"/>
            <rFont val="Segoe UI"/>
            <family val="2"/>
          </rPr>
          <t>LC - Diana - 9</t>
        </r>
      </text>
    </comment>
    <comment ref="A57" authorId="0" shapeId="0" xr:uid="{A37D5FDE-879C-407C-8F09-01AE45E01A75}">
      <text>
        <r>
          <rPr>
            <b/>
            <sz val="9"/>
            <color indexed="81"/>
            <rFont val="Segoe UI"/>
            <family val="2"/>
          </rPr>
          <t>LC - Diana - 8</t>
        </r>
      </text>
    </comment>
    <comment ref="A59" authorId="0" shapeId="0" xr:uid="{31057A99-7694-4277-B631-C91F0953BE91}">
      <text>
        <r>
          <rPr>
            <b/>
            <sz val="9"/>
            <color indexed="81"/>
            <rFont val="Segoe UI"/>
            <family val="2"/>
          </rPr>
          <t>LC - Diana - 7</t>
        </r>
      </text>
    </comment>
    <comment ref="A61" authorId="0" shapeId="0" xr:uid="{488BD370-C8D3-4D18-9633-F788C2702FF9}">
      <text>
        <r>
          <rPr>
            <b/>
            <sz val="9"/>
            <color indexed="81"/>
            <rFont val="Segoe UI"/>
            <family val="2"/>
          </rPr>
          <t>LC - Diana - 6</t>
        </r>
      </text>
    </comment>
    <comment ref="A62" authorId="0" shapeId="0" xr:uid="{C098CA36-8061-410D-8D5F-820D93EC6A17}">
      <text>
        <r>
          <rPr>
            <b/>
            <sz val="9"/>
            <color indexed="81"/>
            <rFont val="Segoe UI"/>
            <family val="2"/>
          </rPr>
          <t>LC - Blendon - 2</t>
        </r>
      </text>
    </comment>
    <comment ref="A71" authorId="0" shapeId="0" xr:uid="{1A13ADB6-37FB-4144-B24F-8CF7819C39B9}">
      <text>
        <r>
          <rPr>
            <b/>
            <sz val="9"/>
            <color indexed="81"/>
            <rFont val="Segoe UI"/>
            <family val="2"/>
          </rPr>
          <t>LC - Diana - 5</t>
        </r>
      </text>
    </comment>
    <comment ref="A74" authorId="0" shapeId="0" xr:uid="{7C01FAB5-D51B-4165-93F0-4513B6BAA2A8}">
      <text>
        <r>
          <rPr>
            <b/>
            <sz val="9"/>
            <color indexed="81"/>
            <rFont val="Segoe UI"/>
            <family val="2"/>
          </rPr>
          <t>LC - Blendon - 1</t>
        </r>
      </text>
    </comment>
    <comment ref="A76" authorId="0" shapeId="0" xr:uid="{01D788CD-F61B-4A7A-BCB3-18B92B759F16}">
      <text>
        <r>
          <rPr>
            <b/>
            <sz val="9"/>
            <color indexed="81"/>
            <rFont val="Segoe UI"/>
            <family val="2"/>
          </rPr>
          <t>LC - Diana - 4</t>
        </r>
      </text>
    </comment>
    <comment ref="A82" authorId="0" shapeId="0" xr:uid="{CD2144AA-D9AC-4BA4-BF1E-024F66671C73}">
      <text>
        <r>
          <rPr>
            <b/>
            <sz val="9"/>
            <color indexed="81"/>
            <rFont val="Segoe UI"/>
            <family val="2"/>
          </rPr>
          <t>LC - Diana - 3</t>
        </r>
      </text>
    </comment>
    <comment ref="A87" authorId="0" shapeId="0" xr:uid="{5AC92A94-DFA1-4523-88D7-0FECB1844E96}">
      <text>
        <r>
          <rPr>
            <b/>
            <sz val="9"/>
            <color indexed="81"/>
            <rFont val="Segoe UI"/>
            <family val="2"/>
          </rPr>
          <t>LC - Diana - 2</t>
        </r>
      </text>
    </comment>
    <comment ref="A88" authorId="0" shapeId="0" xr:uid="{38DE1DB4-D43D-4BAB-9982-E22CD7BE6B78}">
      <text>
        <r>
          <rPr>
            <b/>
            <sz val="9"/>
            <color indexed="81"/>
            <rFont val="Segoe UI"/>
            <family val="2"/>
          </rPr>
          <t>LC - Larissa - 3</t>
        </r>
      </text>
    </comment>
    <comment ref="A91" authorId="0" shapeId="0" xr:uid="{5CCD4262-00E6-4C09-A4B2-C01CB3643C6C}">
      <text>
        <r>
          <rPr>
            <b/>
            <sz val="9"/>
            <color indexed="81"/>
            <rFont val="Segoe UI"/>
            <family val="2"/>
          </rPr>
          <t>LC - Larissa - 2</t>
        </r>
      </text>
    </comment>
    <comment ref="A96" authorId="0" shapeId="0" xr:uid="{A55E8CBE-B54C-48D3-829A-EA7D26AF5E4E}">
      <text>
        <r>
          <rPr>
            <b/>
            <sz val="9"/>
            <color indexed="81"/>
            <rFont val="Segoe UI"/>
            <family val="2"/>
          </rPr>
          <t>LC - Diana - 1</t>
        </r>
      </text>
    </comment>
    <comment ref="A97" authorId="0" shapeId="0" xr:uid="{40F92A18-A4FB-4C0B-861B-6486C3562FE3}">
      <text>
        <r>
          <rPr>
            <b/>
            <sz val="9"/>
            <color indexed="81"/>
            <rFont val="Segoe UI"/>
            <family val="2"/>
          </rPr>
          <t>LC - Larissa - 1</t>
        </r>
      </text>
    </comment>
  </commentList>
</comments>
</file>

<file path=xl/sharedStrings.xml><?xml version="1.0" encoding="utf-8"?>
<sst xmlns="http://schemas.openxmlformats.org/spreadsheetml/2006/main" count="2229" uniqueCount="632">
  <si>
    <t>Nº</t>
  </si>
  <si>
    <t>Nome</t>
  </si>
  <si>
    <t>Total</t>
  </si>
  <si>
    <t>Ano</t>
  </si>
  <si>
    <t>Tipo</t>
  </si>
  <si>
    <t>Harry Potter e a Pedra Filosofal</t>
  </si>
  <si>
    <t>Livro</t>
  </si>
  <si>
    <t>Autor</t>
  </si>
  <si>
    <t>Editora</t>
  </si>
  <si>
    <t>Páginas</t>
  </si>
  <si>
    <t>Paulo Guilherme</t>
  </si>
  <si>
    <t>Alameda</t>
  </si>
  <si>
    <t>Lycio Vellozo Ribas</t>
  </si>
  <si>
    <t>LeYa Brasil</t>
  </si>
  <si>
    <t>Recordes do Futebol Mundial 2012 - FIFA</t>
  </si>
  <si>
    <t>Jeir Radnedge</t>
  </si>
  <si>
    <t>Ciranda Cultural</t>
  </si>
  <si>
    <t>O Livro de Ouro da Mitologia</t>
  </si>
  <si>
    <t>O Mundo das Copas</t>
  </si>
  <si>
    <t>Goleiros: Heróis e anti-heróis da camisa 1</t>
  </si>
  <si>
    <t>Thomas Bulfinch</t>
  </si>
  <si>
    <t>Ediouro</t>
  </si>
  <si>
    <t>Ria da Minha Vida Antes que Eu Ria da Sua</t>
  </si>
  <si>
    <t>Evandro A. Daolio</t>
  </si>
  <si>
    <t>ARX</t>
  </si>
  <si>
    <t>Formato</t>
  </si>
  <si>
    <t>Físico</t>
  </si>
  <si>
    <t>Digital</t>
  </si>
  <si>
    <t>Marcos Bagno</t>
  </si>
  <si>
    <t>Loyola</t>
  </si>
  <si>
    <t>Como Fazer Amigos e Influenciar Pessoas</t>
  </si>
  <si>
    <t>Dale Carnegie</t>
  </si>
  <si>
    <t>Memória Brilhante</t>
  </si>
  <si>
    <t>Tony Buzan</t>
  </si>
  <si>
    <t>Sextante</t>
  </si>
  <si>
    <t>Pensar Bem Nos Faz Bem!</t>
  </si>
  <si>
    <t>Mario Sérgio Cortella</t>
  </si>
  <si>
    <t>Vozes</t>
  </si>
  <si>
    <t>Pensar Bem Nos Faz Bem! 2</t>
  </si>
  <si>
    <t>Chaves: A História Oficial Ilustrada</t>
  </si>
  <si>
    <t>Marcia Batista</t>
  </si>
  <si>
    <t>Universo dos Livros</t>
  </si>
  <si>
    <t>Qual É A Tua Obra?</t>
  </si>
  <si>
    <t>Diário do Chaves</t>
  </si>
  <si>
    <t>Roberto Gomez Bolanos</t>
  </si>
  <si>
    <t>Suma de Letras</t>
  </si>
  <si>
    <t>Um Toc na Cuca</t>
  </si>
  <si>
    <t>Roger Von Oech</t>
  </si>
  <si>
    <t>Cultura</t>
  </si>
  <si>
    <t>Como Se Tornar o Pior Aluno da Escola</t>
  </si>
  <si>
    <t>Danilo Gentilli</t>
  </si>
  <si>
    <t>Panda Books</t>
  </si>
  <si>
    <t>O Código Da Vinci</t>
  </si>
  <si>
    <t>Dan Brown</t>
  </si>
  <si>
    <t>Criatividade Sem Segredos</t>
  </si>
  <si>
    <t>Atlas</t>
  </si>
  <si>
    <t>Notas de um Comediante Stand-Up</t>
  </si>
  <si>
    <t>Léo Lins</t>
  </si>
  <si>
    <t>Nossa Cultura</t>
  </si>
  <si>
    <t>O Guia dos Curiosos</t>
  </si>
  <si>
    <t>Marcelo Duarte</t>
  </si>
  <si>
    <t>O Guia dos Curiosos: Copas</t>
  </si>
  <si>
    <t>Como Fazíamos Sem...</t>
  </si>
  <si>
    <t>Bárbara Soalheiro</t>
  </si>
  <si>
    <t>Geração de Valor</t>
  </si>
  <si>
    <t>Flávio Augusto da Silva</t>
  </si>
  <si>
    <t>Batman: Morte em Família</t>
  </si>
  <si>
    <t>Eaglemoss</t>
  </si>
  <si>
    <t>Crise Infinita</t>
  </si>
  <si>
    <t>Panini</t>
  </si>
  <si>
    <t>Crise nas Infinitas Terras</t>
  </si>
  <si>
    <t>Superman: O Que Aconteceu ao Homem de Aço?</t>
  </si>
  <si>
    <t>Batman: O Que Aconteceu ao Cavaleiro das Trevas?</t>
  </si>
  <si>
    <t>Reino do Amanhã</t>
  </si>
  <si>
    <t>Thor: O Deus do Trovão - O Carniceiro dos Deuses</t>
  </si>
  <si>
    <t>Thor: O Deus do Trovão - Bomba Divina</t>
  </si>
  <si>
    <t>Loki</t>
  </si>
  <si>
    <t>O Espetacular Homem-Aranha: De Volta ao Lar</t>
  </si>
  <si>
    <t>Salvat</t>
  </si>
  <si>
    <t>Crise Final</t>
  </si>
  <si>
    <t>Grant Morrison</t>
  </si>
  <si>
    <t>Batman: A Piada Mortal</t>
  </si>
  <si>
    <t>O Pequeno Príncipe</t>
  </si>
  <si>
    <t>Antoine de Saint-Exupéry</t>
  </si>
  <si>
    <t>Agir</t>
  </si>
  <si>
    <t>Aprendendo Inteligência</t>
  </si>
  <si>
    <t>Pierluigi Piazzi</t>
  </si>
  <si>
    <t>Essas Coisas Só Acontecem Comigo</t>
  </si>
  <si>
    <t>Carlos Alberto de Nóbrega</t>
  </si>
  <si>
    <t>Novo Século</t>
  </si>
  <si>
    <t>O Mínimo Que Você Precisa Saber Para Não Ser Um Idiota</t>
  </si>
  <si>
    <t>Olavo de Carvalho</t>
  </si>
  <si>
    <t>A Hora é Agora!</t>
  </si>
  <si>
    <t>Zibia Gasparetto</t>
  </si>
  <si>
    <t>Vida &amp; Consciência</t>
  </si>
  <si>
    <t>A Sutil Arte de Ligar o F*da-se</t>
  </si>
  <si>
    <t>Mark Manson</t>
  </si>
  <si>
    <t>Intrínseca</t>
  </si>
  <si>
    <t>Mindset: A nova psicologia do sucesso</t>
  </si>
  <si>
    <t>Carol Dweck</t>
  </si>
  <si>
    <t>Objetivo</t>
  </si>
  <si>
    <t>Por que fazemos o que fazemos?</t>
  </si>
  <si>
    <t>Planeta</t>
  </si>
  <si>
    <t>Nos Bastidores da Nintendo</t>
  </si>
  <si>
    <t>Jeff Ryan</t>
  </si>
  <si>
    <t>Saraiva</t>
  </si>
  <si>
    <t>A História do Mundo Para Quem Tem Pressa</t>
  </si>
  <si>
    <t>Emma Marriott</t>
  </si>
  <si>
    <t>Valentina</t>
  </si>
  <si>
    <t>O Livro da Mitologia</t>
  </si>
  <si>
    <t>Vários</t>
  </si>
  <si>
    <t>Comece Pelo Porquê</t>
  </si>
  <si>
    <t>Simon Sinek</t>
  </si>
  <si>
    <t>Sapiens: Uma Breve História da Humanidade</t>
  </si>
  <si>
    <t>Yuval Noah Harari</t>
  </si>
  <si>
    <t>L&amp;PM</t>
  </si>
  <si>
    <t>J. K. Rowling</t>
  </si>
  <si>
    <t>Rocco Minalima</t>
  </si>
  <si>
    <t>O Poder do Hábito</t>
  </si>
  <si>
    <t>Charles Duhigg</t>
  </si>
  <si>
    <t>Objetiva</t>
  </si>
  <si>
    <t>A Arte da Guerra</t>
  </si>
  <si>
    <t>Sun Tzu</t>
  </si>
  <si>
    <t>Edipro</t>
  </si>
  <si>
    <t>Harry Potter e a Câmara Secreta</t>
  </si>
  <si>
    <t>Quem Mexeu no Meu Queijo?</t>
  </si>
  <si>
    <t>Spencer Johnson</t>
  </si>
  <si>
    <t>100 Coisas que Todo Corredor Deveria Saber</t>
  </si>
  <si>
    <t>Christopher McDougall</t>
  </si>
  <si>
    <t>Correr: O exercício, a cidade e o desafio da maratona</t>
  </si>
  <si>
    <t>Drauzio Varella</t>
  </si>
  <si>
    <t>Companhia das Letras</t>
  </si>
  <si>
    <t>Frédéric Delavier</t>
  </si>
  <si>
    <t>Manole</t>
  </si>
  <si>
    <t>A Revolução dos Bichos</t>
  </si>
  <si>
    <t>George Orwell</t>
  </si>
  <si>
    <t>Cosmos</t>
  </si>
  <si>
    <t>Carl Sagan</t>
  </si>
  <si>
    <t>Livros</t>
  </si>
  <si>
    <t>Mangás</t>
  </si>
  <si>
    <t>Harry Potter e o Prisioneiro de Azkaban</t>
  </si>
  <si>
    <t>O Livro dos Espíritos</t>
  </si>
  <si>
    <t>Allan Kardec</t>
  </si>
  <si>
    <t>FEB</t>
  </si>
  <si>
    <t>Pai Rico, Pai Pobre</t>
  </si>
  <si>
    <t>Robert T. Kiyosaki</t>
  </si>
  <si>
    <t>Campus</t>
  </si>
  <si>
    <t>HQs</t>
  </si>
  <si>
    <t>HQ</t>
  </si>
  <si>
    <t>X-Men: A Saga da Fênix Negra</t>
  </si>
  <si>
    <t>Quantia</t>
  </si>
  <si>
    <t>Média / P</t>
  </si>
  <si>
    <t>Média / L</t>
  </si>
  <si>
    <t>Sem Querer Querendo</t>
  </si>
  <si>
    <t>Estética Torta</t>
  </si>
  <si>
    <t>A Sorte Segue a Coragem</t>
  </si>
  <si>
    <t>Record</t>
  </si>
  <si>
    <t>Batman: Segundas Chances</t>
  </si>
  <si>
    <t>Do que eu falo quando eu falo de corrida</t>
  </si>
  <si>
    <t>Haruki Murakami</t>
  </si>
  <si>
    <t>Alfaguara</t>
  </si>
  <si>
    <r>
      <t xml:space="preserve">Batman: Morte em Família </t>
    </r>
    <r>
      <rPr>
        <b/>
        <sz val="11"/>
        <color theme="1"/>
        <rFont val="Arial"/>
        <family val="2"/>
      </rPr>
      <t>(1)</t>
    </r>
  </si>
  <si>
    <t>Relidos</t>
  </si>
  <si>
    <t>O dilema do porco-espinho: como encarar a solidão</t>
  </si>
  <si>
    <t>Leandro Karnal</t>
  </si>
  <si>
    <t>Superman: Entre a Foice e o Martelo</t>
  </si>
  <si>
    <t>A máquina do tempo</t>
  </si>
  <si>
    <t>H. G. Wells</t>
  </si>
  <si>
    <t>Principis</t>
  </si>
  <si>
    <r>
      <t xml:space="preserve">Crise nas Infinitas Terras </t>
    </r>
    <r>
      <rPr>
        <b/>
        <sz val="11"/>
        <color theme="1"/>
        <rFont val="Arial"/>
        <family val="2"/>
      </rPr>
      <t>(1)</t>
    </r>
  </si>
  <si>
    <t>Ficções</t>
  </si>
  <si>
    <t>Jorge Luis Borges</t>
  </si>
  <si>
    <t>Aldous Huxley</t>
  </si>
  <si>
    <t>Biblioteca Azul</t>
  </si>
  <si>
    <t>Batman: Ano Um</t>
  </si>
  <si>
    <t>Batman: Xamã</t>
  </si>
  <si>
    <t>Mangá</t>
  </si>
  <si>
    <t>Dragon Ball Edição Definitiva - Volume 1</t>
  </si>
  <si>
    <t>Akira Toriyama</t>
  </si>
  <si>
    <t>Excelsior</t>
  </si>
  <si>
    <t>Crer ou Não Crer</t>
  </si>
  <si>
    <t>Batman e os Homens-Monstro</t>
  </si>
  <si>
    <t>Matt Wagner</t>
  </si>
  <si>
    <t>Correria: Histórias do Universo da Corrida</t>
  </si>
  <si>
    <t>Sérgio Xavier Filho</t>
  </si>
  <si>
    <t>Arquipélago</t>
  </si>
  <si>
    <t>Batman: O Monge Louco</t>
  </si>
  <si>
    <t>O Mito da Caverna</t>
  </si>
  <si>
    <t>Platão</t>
  </si>
  <si>
    <t>Montecristo</t>
  </si>
  <si>
    <t>Machado de Assis</t>
  </si>
  <si>
    <t>O Alienista</t>
  </si>
  <si>
    <t>Batman: Acossado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</si>
  <si>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</si>
  <si>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</si>
  <si>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</si>
  <si>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</si>
  <si>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</si>
  <si>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</si>
  <si>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</si>
  <si>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</si>
  <si>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</si>
  <si>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</si>
  <si>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</si>
  <si>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</si>
  <si>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</si>
  <si>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O Cérebro do Maratonista</t>
  </si>
  <si>
    <t>Fontenele</t>
  </si>
  <si>
    <t>Batman: Gótico</t>
  </si>
  <si>
    <t>Depois de Auschwitz</t>
  </si>
  <si>
    <t>Eva Schloss</t>
  </si>
  <si>
    <t>Batman: O Homem Que Ri &amp; Asilo Arkham</t>
  </si>
  <si>
    <t>O Alquimista</t>
  </si>
  <si>
    <t>Paulo Coelho</t>
  </si>
  <si>
    <t>Paralela</t>
  </si>
  <si>
    <t>Batman: Ano Dois</t>
  </si>
  <si>
    <t>As Leis da Natureza Humana</t>
  </si>
  <si>
    <t>Robert Greene</t>
  </si>
  <si>
    <t>Planeta Estratégia</t>
  </si>
  <si>
    <t>Dragon Ball Edição Definitiva - Volume 2</t>
  </si>
  <si>
    <t>Batman: Dia Das Bruxas</t>
  </si>
  <si>
    <t>Batman: O Longo Dia das Bruxas</t>
  </si>
  <si>
    <t>Fullmetal Alchemist - Volume 1</t>
  </si>
  <si>
    <t>Hiromu Arakawa</t>
  </si>
  <si>
    <t>JBC</t>
  </si>
  <si>
    <t>Agatha Christie</t>
  </si>
  <si>
    <t>Globo Livros</t>
  </si>
  <si>
    <t>A Noite das Bruxas</t>
  </si>
  <si>
    <t>Um Estudo em Vermelho</t>
  </si>
  <si>
    <t>Arthur Conan Doyle</t>
  </si>
  <si>
    <t>Zahar</t>
  </si>
  <si>
    <t>O Grande Gatsby</t>
  </si>
  <si>
    <t>F. Scott Fitzgerald</t>
  </si>
  <si>
    <t>Antofágica</t>
  </si>
  <si>
    <t>O Curioso Caso de Benjamin Button</t>
  </si>
  <si>
    <t>Authore</t>
  </si>
  <si>
    <t>Noites Brancas</t>
  </si>
  <si>
    <t>Fiódor Dostoiévski</t>
  </si>
  <si>
    <t>Companhia de Bolso</t>
  </si>
  <si>
    <t>Estação Carandiru</t>
  </si>
  <si>
    <t>Os Miseráveis</t>
  </si>
  <si>
    <t>Victor Hugo</t>
  </si>
  <si>
    <t>Martin Claret</t>
  </si>
  <si>
    <t>O Poderoso Chefão</t>
  </si>
  <si>
    <t>Mario Puzo</t>
  </si>
  <si>
    <t>O Homem Bicentenário</t>
  </si>
  <si>
    <t>Isaac Asimov</t>
  </si>
  <si>
    <t>Aleph</t>
  </si>
  <si>
    <t>Iron Maiden: Run to the hills</t>
  </si>
  <si>
    <t>Mick Wall</t>
  </si>
  <si>
    <t>Mario Vargas Llosa</t>
  </si>
  <si>
    <t>A Tentação do Impossível: Victor Hugo e Os Miseráveis</t>
  </si>
  <si>
    <t>O Cair da Noite</t>
  </si>
  <si>
    <t>Término</t>
  </si>
  <si>
    <t>Início</t>
  </si>
  <si>
    <t>Dias</t>
  </si>
  <si>
    <t>Assassinato no Expresso Oriente</t>
  </si>
  <si>
    <t>Os Bons Companheiros</t>
  </si>
  <si>
    <t>Nicholas Pileggi</t>
  </si>
  <si>
    <t>Darkside</t>
  </si>
  <si>
    <t>Fernando Sabino</t>
  </si>
  <si>
    <t>Sêneca</t>
  </si>
  <si>
    <t>As 220 Mortes de Laura Lins</t>
  </si>
  <si>
    <t>Independente</t>
  </si>
  <si>
    <t>O Hobbit</t>
  </si>
  <si>
    <t>J. R. R. Tolkien</t>
  </si>
  <si>
    <t>HarperCollins</t>
  </si>
  <si>
    <t>A vida como ela é... 25 histórias inéditas</t>
  </si>
  <si>
    <t>Nelson Rodrigues</t>
  </si>
  <si>
    <t>Nova Fronteira</t>
  </si>
  <si>
    <t>Évora</t>
  </si>
  <si>
    <t>O encontro marcado</t>
  </si>
  <si>
    <t>Guia dos Movimentos de Musculação: Abordagem Anatômica</t>
  </si>
  <si>
    <t>Um Cadáver Ouve Rádio</t>
  </si>
  <si>
    <t>Marcos Rey</t>
  </si>
  <si>
    <t>Ática</t>
  </si>
  <si>
    <t>Daniela Arbex</t>
  </si>
  <si>
    <t>Holocausto brasileiro</t>
  </si>
  <si>
    <t>Guerra, Adorável Guerra</t>
  </si>
  <si>
    <t>Julie Berry</t>
  </si>
  <si>
    <t>O caçador de pipas</t>
  </si>
  <si>
    <t>Khaled Hosseini</t>
  </si>
  <si>
    <t>Simplificando Teste de Software</t>
  </si>
  <si>
    <t>Anne Caroline Rocha</t>
  </si>
  <si>
    <t>Clube dos Autores</t>
  </si>
  <si>
    <t>Senhor das Moscas</t>
  </si>
  <si>
    <t>William Golding</t>
  </si>
  <si>
    <t>Quando coisas ruins acontecem com pessoas boas</t>
  </si>
  <si>
    <t>Harold S. Kushner</t>
  </si>
  <si>
    <t>Best Seller</t>
  </si>
  <si>
    <t>A hora da estrela</t>
  </si>
  <si>
    <t>Clarice Lispector</t>
  </si>
  <si>
    <t>Rocco</t>
  </si>
  <si>
    <t>O Natal de Hercule Poirot</t>
  </si>
  <si>
    <t>O velho e o mar</t>
  </si>
  <si>
    <t>Ernest Hemingway</t>
  </si>
  <si>
    <t>Bertrand</t>
  </si>
  <si>
    <t>Indicação</t>
  </si>
  <si>
    <t>Diana</t>
  </si>
  <si>
    <t>Luiz</t>
  </si>
  <si>
    <t>Sobre a brevidade da vida</t>
  </si>
  <si>
    <t>Canções de ninar de Auschwitz</t>
  </si>
  <si>
    <t>Mario Escobar</t>
  </si>
  <si>
    <t>Forrest Gump</t>
  </si>
  <si>
    <t>Winston Groom</t>
  </si>
  <si>
    <t>O Conde de Monte Cristo</t>
  </si>
  <si>
    <t>Alexandre Dumas</t>
  </si>
  <si>
    <t>A Sangue Frio</t>
  </si>
  <si>
    <t>Truman Capote</t>
  </si>
  <si>
    <t>O passeador de livros</t>
  </si>
  <si>
    <t>Carsten Henn</t>
  </si>
  <si>
    <t>Como Deus é um e três ao mesmo tempo?</t>
  </si>
  <si>
    <t>Pedro Pamplona</t>
  </si>
  <si>
    <t>Thomas Nelson Brasil</t>
  </si>
  <si>
    <t>Da Janela do Joelma</t>
  </si>
  <si>
    <t>Maria Carolina Passos</t>
  </si>
  <si>
    <t>Impostora</t>
  </si>
  <si>
    <t>Napoleon Hill</t>
  </si>
  <si>
    <t>Citadel</t>
  </si>
  <si>
    <t>Quem pensa enriquece: O legado</t>
  </si>
  <si>
    <t>Pachinko</t>
  </si>
  <si>
    <t>Min Jin Lee</t>
  </si>
  <si>
    <t>Cabo do Medo</t>
  </si>
  <si>
    <t>John D. MacDonald</t>
  </si>
  <si>
    <t>Daniel Kahneman</t>
  </si>
  <si>
    <t>Rápido e devagar: Duas formas de pensar</t>
  </si>
  <si>
    <t>O Assassinato de Roger Ackroyd</t>
  </si>
  <si>
    <t>Os três mosqueteiros</t>
  </si>
  <si>
    <t>Memórias póstumas de Brás Cubas</t>
  </si>
  <si>
    <t>Mitologia Nórdica</t>
  </si>
  <si>
    <t>Neil Gaiman</t>
  </si>
  <si>
    <t>Média mês</t>
  </si>
  <si>
    <t>Capitães da Areia</t>
  </si>
  <si>
    <t>Jorge Amado</t>
  </si>
  <si>
    <t>Nota</t>
  </si>
  <si>
    <t>Outro</t>
  </si>
  <si>
    <t>Perfeito</t>
  </si>
  <si>
    <t>Incrível</t>
  </si>
  <si>
    <t>Ótimo</t>
  </si>
  <si>
    <t>Bom</t>
  </si>
  <si>
    <t>Decente</t>
  </si>
  <si>
    <t>Fraco</t>
  </si>
  <si>
    <t>Ruim</t>
  </si>
  <si>
    <t>Péssimo</t>
  </si>
  <si>
    <t>Horrível</t>
  </si>
  <si>
    <t>-</t>
  </si>
  <si>
    <t>NL</t>
  </si>
  <si>
    <t>ND</t>
  </si>
  <si>
    <t>Nascido para Correr</t>
  </si>
  <si>
    <t>Frankenstein</t>
  </si>
  <si>
    <t>Mary Shelley</t>
  </si>
  <si>
    <t>E não sobrou nenhum</t>
  </si>
  <si>
    <t>Rafael Hori</t>
  </si>
  <si>
    <t>A vida é curta demais para viver o mínimo das coisas</t>
  </si>
  <si>
    <t>Iandê Albuquerque</t>
  </si>
  <si>
    <t>O homem do castelo alto</t>
  </si>
  <si>
    <t>Philip K. Dick</t>
  </si>
  <si>
    <t>Cia Editora Nacional</t>
  </si>
  <si>
    <t>Págs</t>
  </si>
  <si>
    <t>Até que nada mais importe</t>
  </si>
  <si>
    <t>Luciano Subirá</t>
  </si>
  <si>
    <t>Hagnos</t>
  </si>
  <si>
    <t>Penguin</t>
  </si>
  <si>
    <t>Memórias do subsolo</t>
  </si>
  <si>
    <t>Onde os velhos não têm vez</t>
  </si>
  <si>
    <t>Cormac McCarthy</t>
  </si>
  <si>
    <t>A lanterna das memórias perdidas</t>
  </si>
  <si>
    <t>Sanaka Hiiragi</t>
  </si>
  <si>
    <t>Entendes o que lês?</t>
  </si>
  <si>
    <t>Jeph Loeb | Tim Sale</t>
  </si>
  <si>
    <t>Jim Starlin | Jim Aparo</t>
  </si>
  <si>
    <t>Alan Moore | Brian Bolland</t>
  </si>
  <si>
    <t>Robert Rodi | Esad Ribic</t>
  </si>
  <si>
    <t>Jason Aaron | Esad Ribic</t>
  </si>
  <si>
    <t>Mark Waid | Alex Ross</t>
  </si>
  <si>
    <t>Alan Moore | Curt Swan</t>
  </si>
  <si>
    <t>Vida Nova</t>
  </si>
  <si>
    <t>A pirâmide invertida - A história da tática no futebol</t>
  </si>
  <si>
    <t>Jonathan Wilson</t>
  </si>
  <si>
    <t>Grande Área</t>
  </si>
  <si>
    <t>Cem anos de solidão</t>
  </si>
  <si>
    <t>Gabriel García Márquez</t>
  </si>
  <si>
    <t>Olhai os lírios do campo</t>
  </si>
  <si>
    <t>Erico Verissimo</t>
  </si>
  <si>
    <t>F. Zugman | M. Turtchin</t>
  </si>
  <si>
    <t>M. Wolfman | G. Pérez</t>
  </si>
  <si>
    <t>J. Michael S. | J. Romita Jr.</t>
  </si>
  <si>
    <t>M. A. Collins | Jim Starlin</t>
  </si>
  <si>
    <t>C. Claremont | J. Byrne</t>
  </si>
  <si>
    <t>Pe. Fábio de Melo | L. Karnal</t>
  </si>
  <si>
    <t>M. Millar | D. Johnson</t>
  </si>
  <si>
    <t>Sérgio R. | Raquel C.</t>
  </si>
  <si>
    <t>F. Miller | D. Mazzucchelli</t>
  </si>
  <si>
    <t>Ed Brubaker | G. Morrison</t>
  </si>
  <si>
    <t>Mike W. Barr | A. Davis</t>
  </si>
  <si>
    <t>Valdir Braga</t>
  </si>
  <si>
    <t>D. Moench | P. Gulacy</t>
  </si>
  <si>
    <t>D. O'Neil | Ed Hannigan</t>
  </si>
  <si>
    <t>G. Johns | P. Jimenez</t>
  </si>
  <si>
    <t>N. Gaiman | A. Kubert</t>
  </si>
  <si>
    <t>Gabriel Garcia Márquez</t>
  </si>
  <si>
    <t>Grant Morrison | K. Janson</t>
  </si>
  <si>
    <t>Hora zero</t>
  </si>
  <si>
    <t>Segredo de justiça</t>
  </si>
  <si>
    <t>Andréa Pachá</t>
  </si>
  <si>
    <t>A Dama das Camélias</t>
  </si>
  <si>
    <t>Alexandre Dumas Filho</t>
  </si>
  <si>
    <t>Gordon Fee | Douglas Stuart</t>
  </si>
  <si>
    <t>O homem mais feliz do mundo</t>
  </si>
  <si>
    <t>Eddie Jaku</t>
  </si>
  <si>
    <t>José Mauro de Vasconcelos</t>
  </si>
  <si>
    <t>Melhoramentos</t>
  </si>
  <si>
    <t>O Meu Pé de Laranja Lima</t>
  </si>
  <si>
    <t>O homem mais rico da Babilônia</t>
  </si>
  <si>
    <t>George S. Clason</t>
  </si>
  <si>
    <t>As cinco pessoas que você encontra no céu</t>
  </si>
  <si>
    <t>Mitch Albom</t>
  </si>
  <si>
    <t>Charles Dickens</t>
  </si>
  <si>
    <t>Uma canção de natal</t>
  </si>
  <si>
    <t>Harry Potter e o Cálice de Fogo</t>
  </si>
  <si>
    <t>12 Regras Para a Vida: Um Antídoto Para o Caos</t>
  </si>
  <si>
    <t>Jordan B. Peterson</t>
  </si>
  <si>
    <t>Alta Books</t>
  </si>
  <si>
    <t>Meditações</t>
  </si>
  <si>
    <t>Marco Aurélio</t>
  </si>
  <si>
    <t>Rocco Karl James</t>
  </si>
  <si>
    <t>Convite para um homicídio</t>
  </si>
  <si>
    <t>Cartas de um diabo a seu aprendiz</t>
  </si>
  <si>
    <t>C.S. Lewis</t>
  </si>
  <si>
    <t>O cavaleiro inexistente</t>
  </si>
  <si>
    <t>Italo Calvino</t>
  </si>
  <si>
    <t>Os doze mandamentos</t>
  </si>
  <si>
    <t>Sidney Sheldon</t>
  </si>
  <si>
    <t>Em seus passos o que faria Jesus?</t>
  </si>
  <si>
    <t>Mundo Cristão</t>
  </si>
  <si>
    <t>Charles M. Sheldon</t>
  </si>
  <si>
    <t>Pág</t>
  </si>
  <si>
    <t>Total Pág</t>
  </si>
  <si>
    <t>Mônica 1970</t>
  </si>
  <si>
    <t>Maurício de Sousa</t>
  </si>
  <si>
    <t>Mônica 1971</t>
  </si>
  <si>
    <t>Mônica 1972</t>
  </si>
  <si>
    <t>Moby Dick</t>
  </si>
  <si>
    <t>Herman Melville</t>
  </si>
  <si>
    <t>Dom Quixote</t>
  </si>
  <si>
    <t>Miguel de Cervantes</t>
  </si>
  <si>
    <t>J.R.R. Tolkien</t>
  </si>
  <si>
    <t>J.K. Rowling</t>
  </si>
  <si>
    <t>O amor nos tempos do cólera</t>
  </si>
  <si>
    <t>O Código da Vinci - Edição ilustrada</t>
  </si>
  <si>
    <t>O Senhor dos Anéis - Volume único</t>
  </si>
  <si>
    <t>As Crônicas de Nárnia - Volume único</t>
  </si>
  <si>
    <t>Animais Fantasticos - O roteiro original</t>
  </si>
  <si>
    <t>Crônica de uma morte anunciada</t>
  </si>
  <si>
    <t>O nome da rosa - Edição especial</t>
  </si>
  <si>
    <t>Umberto Eco</t>
  </si>
  <si>
    <t>Dom Casmurro</t>
  </si>
  <si>
    <t>Nano Antofágica</t>
  </si>
  <si>
    <t>Carta ao pai</t>
  </si>
  <si>
    <t>A Metamorfose</t>
  </si>
  <si>
    <t>William Shakespeare</t>
  </si>
  <si>
    <t>Romeu &amp; Julieta</t>
  </si>
  <si>
    <t>Franz Kafka</t>
  </si>
  <si>
    <t>Oliver Twist</t>
  </si>
  <si>
    <t>Amarilys</t>
  </si>
  <si>
    <t>O Corcunda de Notre Dame</t>
  </si>
  <si>
    <t>Mulherzinhas</t>
  </si>
  <si>
    <t>Louisa May Alcott</t>
  </si>
  <si>
    <t>Jane Eyre</t>
  </si>
  <si>
    <t>Vinte anos depois</t>
  </si>
  <si>
    <t>O visconde de Bragelonne</t>
  </si>
  <si>
    <t>O visconde de Bragelonne - Louise de la Vallière</t>
  </si>
  <si>
    <t>O visconde de Bragelonne - O homem da máscara de ferro</t>
  </si>
  <si>
    <t>Charlotte Bronte</t>
  </si>
  <si>
    <t>Robinson Crusoé</t>
  </si>
  <si>
    <t>Jonathan Swift</t>
  </si>
  <si>
    <t>Daniel Defoe</t>
  </si>
  <si>
    <t>Viagens de Gulliver</t>
  </si>
  <si>
    <t>O Príncipe</t>
  </si>
  <si>
    <t>Nicolau Maquiavel</t>
  </si>
  <si>
    <t>Garnier</t>
  </si>
  <si>
    <t>Vladimir Nabokov</t>
  </si>
  <si>
    <t>Lolita</t>
  </si>
  <si>
    <t>Maus</t>
  </si>
  <si>
    <t>Quadrinhos na Cia</t>
  </si>
  <si>
    <t>Art Spiegelman</t>
  </si>
  <si>
    <t>Mengele: a história completa do anjo da morte de Auschwitz</t>
  </si>
  <si>
    <t xml:space="preserve"> Gerald L Posner</t>
  </si>
  <si>
    <t>Cultrix</t>
  </si>
  <si>
    <t>Crítica</t>
  </si>
  <si>
    <t>Os diários de Alfred Rosenberg</t>
  </si>
  <si>
    <t>Jurgen Matthaus</t>
  </si>
  <si>
    <t>Crime e Castigo</t>
  </si>
  <si>
    <t>John Boyne</t>
  </si>
  <si>
    <t>Anne Frank</t>
  </si>
  <si>
    <t>Editora 34</t>
  </si>
  <si>
    <t>O menino do pijama listrado</t>
  </si>
  <si>
    <t>O diário de Anne Frank</t>
  </si>
  <si>
    <t>Seguinte</t>
  </si>
  <si>
    <t>Confissões</t>
  </si>
  <si>
    <t>Santo Agostinho</t>
  </si>
  <si>
    <t>Odisseia</t>
  </si>
  <si>
    <t>Homero</t>
  </si>
  <si>
    <t>O sofrimento do jovem Werber</t>
  </si>
  <si>
    <t>Goethe</t>
  </si>
  <si>
    <t>Uma canção de Natal</t>
  </si>
  <si>
    <t>Mrs. Dallowey</t>
  </si>
  <si>
    <t>Virginia Woolf</t>
  </si>
  <si>
    <t>A mandíbula de Caim</t>
  </si>
  <si>
    <t>Torquemada</t>
  </si>
  <si>
    <t>O assassinato de Roger Ackroyd</t>
  </si>
  <si>
    <t>Um corpo na biblioteca</t>
  </si>
  <si>
    <t>Morte no Nilo</t>
  </si>
  <si>
    <t>Depois do funeral</t>
  </si>
  <si>
    <t>A noite das bruxas</t>
  </si>
  <si>
    <t>Noite sem fim</t>
  </si>
  <si>
    <t>Agatha Christie - Uma autobiografia</t>
  </si>
  <si>
    <t>A arte da Guerra</t>
  </si>
  <si>
    <t>O livro das religiões</t>
  </si>
  <si>
    <t>O livro da mitologia</t>
  </si>
  <si>
    <t>O livro do cinema</t>
  </si>
  <si>
    <t>Romeu e Julieta</t>
  </si>
  <si>
    <t>O Senhor dos Anéis</t>
  </si>
  <si>
    <t>C. S. Lewis</t>
  </si>
  <si>
    <t>R. F. Kuang</t>
  </si>
  <si>
    <t>Sonhos de Trem</t>
  </si>
  <si>
    <t>Denis Johnson</t>
  </si>
  <si>
    <t>Madame Bovary</t>
  </si>
  <si>
    <t>Gustave Flaubert</t>
  </si>
  <si>
    <t>Um Coração Simples</t>
  </si>
  <si>
    <t>Grua</t>
  </si>
  <si>
    <t>O que resta de nós</t>
  </si>
  <si>
    <t>Virginie Grimaldi</t>
  </si>
  <si>
    <t>Gutenberg</t>
  </si>
  <si>
    <t>O último dia de um condenado</t>
  </si>
  <si>
    <t>A metamorfose</t>
  </si>
  <si>
    <t>Deuses americanos</t>
  </si>
  <si>
    <t>Jesus Copy</t>
  </si>
  <si>
    <t>Douglas Gonçalves</t>
  </si>
  <si>
    <t>O Evangelho Maltrapilho</t>
  </si>
  <si>
    <t>Brennan Manning</t>
  </si>
  <si>
    <t>Maravilhosa Graça</t>
  </si>
  <si>
    <t>C. H. Spurgeon</t>
  </si>
  <si>
    <t>Oxigênio</t>
  </si>
  <si>
    <t>O adversário secreto</t>
  </si>
  <si>
    <t>Nós</t>
  </si>
  <si>
    <t>Se deus me chamar não vou</t>
  </si>
  <si>
    <t>Mariana Salomão Carrara</t>
  </si>
  <si>
    <t>O signo dos quatro</t>
  </si>
  <si>
    <t>Orgulho e Preconceito</t>
  </si>
  <si>
    <t>Jane Austen</t>
  </si>
  <si>
    <t>Liev Tolstói</t>
  </si>
  <si>
    <t>Nanofágica</t>
  </si>
  <si>
    <t>Roald Dahl</t>
  </si>
  <si>
    <t>Matilda</t>
  </si>
  <si>
    <t>Galera Júnior</t>
  </si>
  <si>
    <t>Timothy Keller</t>
  </si>
  <si>
    <t>Ego transformado</t>
  </si>
  <si>
    <t>Felicidade conjugal</t>
  </si>
  <si>
    <t>Um jogador</t>
  </si>
  <si>
    <t>Gênero</t>
  </si>
  <si>
    <t>País</t>
  </si>
  <si>
    <t>Admirável Mundo Novo</t>
  </si>
  <si>
    <t>Preconceito Linguístico</t>
  </si>
  <si>
    <t>Romance de Formação</t>
  </si>
  <si>
    <t>Romance Psicológico</t>
  </si>
  <si>
    <t>Religião</t>
  </si>
  <si>
    <t>Romance Romântico</t>
  </si>
  <si>
    <t>Romance Policial</t>
  </si>
  <si>
    <t>Autoajuda</t>
  </si>
  <si>
    <t>Romance Histórico</t>
  </si>
  <si>
    <t>Psicologia</t>
  </si>
  <si>
    <t>Super-Herói</t>
  </si>
  <si>
    <t>Humor</t>
  </si>
  <si>
    <t>Fantasia</t>
  </si>
  <si>
    <t>Inglaterra</t>
  </si>
  <si>
    <t>Gales</t>
  </si>
  <si>
    <t>Brasil</t>
  </si>
  <si>
    <t>Rússia</t>
  </si>
  <si>
    <t>Estados Unidos</t>
  </si>
  <si>
    <t>Escócia</t>
  </si>
  <si>
    <t>República Tcheca</t>
  </si>
  <si>
    <t>França</t>
  </si>
  <si>
    <t>Canadá</t>
  </si>
  <si>
    <t>Itália</t>
  </si>
  <si>
    <t>Irlanda do Norte</t>
  </si>
  <si>
    <t>Roma Antiga</t>
  </si>
  <si>
    <t>Austrália</t>
  </si>
  <si>
    <t>Colômbia</t>
  </si>
  <si>
    <t>Japão</t>
  </si>
  <si>
    <t>Alemanha</t>
  </si>
  <si>
    <t>Espanha</t>
  </si>
  <si>
    <t>Peru</t>
  </si>
  <si>
    <t>Grécia Antiga</t>
  </si>
  <si>
    <t>México</t>
  </si>
  <si>
    <t>Argentina</t>
  </si>
  <si>
    <t>China</t>
  </si>
  <si>
    <t>Israel</t>
  </si>
  <si>
    <t>Contos</t>
  </si>
  <si>
    <t>Teatro</t>
  </si>
  <si>
    <t>Filosofia</t>
  </si>
  <si>
    <t>Finanças</t>
  </si>
  <si>
    <t>Memórias</t>
  </si>
  <si>
    <t>Esportes</t>
  </si>
  <si>
    <t>Terror</t>
  </si>
  <si>
    <t>Ficção Científica</t>
  </si>
  <si>
    <t>Aventura</t>
  </si>
  <si>
    <t>Mitologia</t>
  </si>
  <si>
    <t>Thriller</t>
  </si>
  <si>
    <t>True Crime</t>
  </si>
  <si>
    <t>História</t>
  </si>
  <si>
    <t>Tecnologia</t>
  </si>
  <si>
    <t>Biografia</t>
  </si>
  <si>
    <t>Crítica Literária</t>
  </si>
  <si>
    <t>Ciência</t>
  </si>
  <si>
    <t>Ficção Política</t>
  </si>
  <si>
    <t>Administração</t>
  </si>
  <si>
    <t>Curiosidades</t>
  </si>
  <si>
    <t>Linguística</t>
  </si>
  <si>
    <t>Fantástico</t>
  </si>
  <si>
    <t>Romance Social</t>
  </si>
  <si>
    <t>Romance Contemporâneo</t>
  </si>
  <si>
    <t>Romance Religioso</t>
  </si>
  <si>
    <t>Sátira</t>
  </si>
  <si>
    <t>Crônicas</t>
  </si>
  <si>
    <t>Realismo Mágico</t>
  </si>
  <si>
    <t>Romance de Crime</t>
  </si>
  <si>
    <t>Romance Satírico</t>
  </si>
  <si>
    <t>Shonen</t>
  </si>
  <si>
    <t>Romance Filosófico</t>
  </si>
  <si>
    <t>Estratégia</t>
  </si>
  <si>
    <t>Fábula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</si>
</sst>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:ss;@"/>
    <numFmt numFmtId="165" formatCode="000"/>
    <numFmt numFmtId="166" formatCode="0.0"/>
    <numFmt numFmtId="167" formatCode="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9"/>
      <color indexed="81"/>
      <name val="Segoe UI"/>
      <charset val="1"/>
    </font>
    <font>
      <b/>
      <sz val="11"/>
      <color theme="1"/>
      <name val="Arial"/>
    </font>
    <font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rgb="FFD9E1F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 tint="-0.14999847407452621"/>
        <bgColor indexed="65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ck">
        <color theme="1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/>
    </xf>
    <xf numFmtId="1" fontId="3" fillId="3" borderId="29" xfId="0" applyNumberFormat="1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shrinkToFit="1"/>
    </xf>
    <xf numFmtId="1" fontId="1" fillId="5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" fontId="3" fillId="3" borderId="38" xfId="0" applyNumberFormat="1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 vertical="center"/>
    </xf>
    <xf numFmtId="1" fontId="3" fillId="3" borderId="43" xfId="0" applyNumberFormat="1" applyFont="1" applyFill="1" applyBorder="1" applyAlignment="1">
      <alignment horizontal="center"/>
    </xf>
    <xf numFmtId="165" fontId="0" fillId="0" borderId="0" xfId="0" applyNumberFormat="1"/>
    <xf numFmtId="0" fontId="0" fillId="6" borderId="44" xfId="0" applyFill="1" applyBorder="1"/>
    <xf numFmtId="0" fontId="0" fillId="6" borderId="45" xfId="0" applyFill="1" applyBorder="1"/>
    <xf numFmtId="0" fontId="6" fillId="7" borderId="46" xfId="0" applyFont="1" applyFill="1" applyBorder="1" applyAlignment="1">
      <alignment vertical="center"/>
    </xf>
    <xf numFmtId="0" fontId="0" fillId="6" borderId="47" xfId="0" applyFill="1" applyBorder="1"/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6" borderId="50" xfId="0" applyFill="1" applyBorder="1"/>
    <xf numFmtId="0" fontId="7" fillId="0" borderId="51" xfId="0" applyFont="1" applyBorder="1"/>
    <xf numFmtId="0" fontId="7" fillId="0" borderId="37" xfId="0" applyFont="1" applyBorder="1" applyAlignment="1">
      <alignment horizontal="center"/>
    </xf>
    <xf numFmtId="0" fontId="7" fillId="0" borderId="52" xfId="0" applyFont="1" applyBorder="1"/>
    <xf numFmtId="0" fontId="7" fillId="0" borderId="53" xfId="0" applyFont="1" applyBorder="1"/>
    <xf numFmtId="0" fontId="7" fillId="0" borderId="54" xfId="0" applyFont="1" applyBorder="1" applyAlignment="1">
      <alignment horizontal="center"/>
    </xf>
    <xf numFmtId="0" fontId="7" fillId="0" borderId="1" xfId="0" applyFont="1" applyBorder="1"/>
    <xf numFmtId="0" fontId="6" fillId="0" borderId="55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166" fontId="6" fillId="0" borderId="58" xfId="0" applyNumberFormat="1" applyFont="1" applyBorder="1" applyAlignment="1">
      <alignment horizontal="center"/>
    </xf>
    <xf numFmtId="0" fontId="7" fillId="6" borderId="54" xfId="0" applyFont="1" applyFill="1" applyBorder="1"/>
    <xf numFmtId="0" fontId="0" fillId="6" borderId="0" xfId="0" applyFill="1"/>
    <xf numFmtId="0" fontId="6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0" fillId="6" borderId="60" xfId="0" applyFill="1" applyBorder="1"/>
    <xf numFmtId="0" fontId="0" fillId="6" borderId="61" xfId="0" applyFill="1" applyBorder="1"/>
    <xf numFmtId="0" fontId="0" fillId="6" borderId="46" xfId="0" applyFill="1" applyBorder="1"/>
    <xf numFmtId="0" fontId="0" fillId="6" borderId="62" xfId="0" applyFill="1" applyBorder="1"/>
    <xf numFmtId="0" fontId="0" fillId="6" borderId="58" xfId="0" applyFill="1" applyBorder="1"/>
    <xf numFmtId="0" fontId="6" fillId="0" borderId="51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/>
    <xf numFmtId="0" fontId="7" fillId="0" borderId="38" xfId="0" applyFont="1" applyBorder="1"/>
    <xf numFmtId="0" fontId="6" fillId="0" borderId="3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0" fillId="0" borderId="62" xfId="0" applyBorder="1"/>
    <xf numFmtId="0" fontId="7" fillId="6" borderId="54" xfId="0" applyFont="1" applyFill="1" applyBorder="1" applyAlignment="1">
      <alignment horizontal="center"/>
    </xf>
    <xf numFmtId="0" fontId="6" fillId="0" borderId="64" xfId="0" applyFont="1" applyBorder="1" applyAlignment="1">
      <alignment horizontal="center"/>
    </xf>
    <xf numFmtId="1" fontId="6" fillId="8" borderId="59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/>
    </xf>
    <xf numFmtId="0" fontId="1" fillId="5" borderId="66" xfId="0" applyFont="1" applyFill="1" applyBorder="1" applyAlignment="1">
      <alignment horizontal="center"/>
    </xf>
    <xf numFmtId="0" fontId="2" fillId="4" borderId="65" xfId="0" applyFont="1" applyFill="1" applyBorder="1" applyAlignment="1">
      <alignment horizontal="center"/>
    </xf>
    <xf numFmtId="0" fontId="6" fillId="8" borderId="68" xfId="0" applyFont="1" applyFill="1" applyBorder="1" applyAlignment="1">
      <alignment horizontal="center" vertical="center"/>
    </xf>
    <xf numFmtId="0" fontId="6" fillId="8" borderId="69" xfId="0" applyFont="1" applyFill="1" applyBorder="1" applyAlignment="1">
      <alignment horizontal="center" vertical="center"/>
    </xf>
    <xf numFmtId="0" fontId="7" fillId="0" borderId="70" xfId="0" applyFont="1" applyBorder="1"/>
    <xf numFmtId="0" fontId="7" fillId="9" borderId="71" xfId="0" applyFont="1" applyFill="1" applyBorder="1"/>
    <xf numFmtId="0" fontId="7" fillId="0" borderId="71" xfId="0" applyFont="1" applyBorder="1"/>
    <xf numFmtId="0" fontId="7" fillId="8" borderId="71" xfId="0" applyFont="1" applyFill="1" applyBorder="1"/>
    <xf numFmtId="0" fontId="6" fillId="0" borderId="63" xfId="0" applyFont="1" applyBorder="1" applyAlignment="1">
      <alignment horizontal="center"/>
    </xf>
    <xf numFmtId="0" fontId="7" fillId="8" borderId="72" xfId="0" applyFont="1" applyFill="1" applyBorder="1"/>
    <xf numFmtId="0" fontId="6" fillId="10" borderId="67" xfId="0" applyFont="1" applyFill="1" applyBorder="1" applyAlignment="1">
      <alignment horizontal="center" vertical="center"/>
    </xf>
    <xf numFmtId="166" fontId="3" fillId="12" borderId="12" xfId="0" applyNumberFormat="1" applyFont="1" applyFill="1" applyBorder="1" applyAlignment="1">
      <alignment horizontal="center"/>
    </xf>
    <xf numFmtId="166" fontId="7" fillId="0" borderId="73" xfId="0" applyNumberFormat="1" applyFont="1" applyBorder="1" applyAlignment="1">
      <alignment horizontal="center"/>
    </xf>
    <xf numFmtId="166" fontId="7" fillId="0" borderId="74" xfId="0" applyNumberFormat="1" applyFont="1" applyBorder="1" applyAlignment="1">
      <alignment horizontal="center"/>
    </xf>
    <xf numFmtId="166" fontId="7" fillId="11" borderId="74" xfId="0" applyNumberFormat="1" applyFont="1" applyFill="1" applyBorder="1" applyAlignment="1">
      <alignment horizontal="center"/>
    </xf>
    <xf numFmtId="166" fontId="7" fillId="11" borderId="75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167" fontId="0" fillId="0" borderId="0" xfId="0" applyNumberFormat="1"/>
    <xf numFmtId="167" fontId="2" fillId="2" borderId="1" xfId="0" applyNumberFormat="1" applyFont="1" applyFill="1" applyBorder="1" applyAlignment="1">
      <alignment horizontal="center"/>
    </xf>
    <xf numFmtId="0" fontId="3" fillId="3" borderId="76" xfId="0" applyFont="1" applyFill="1" applyBorder="1" applyAlignment="1">
      <alignment horizontal="center"/>
    </xf>
    <xf numFmtId="0" fontId="3" fillId="3" borderId="77" xfId="0" applyFont="1" applyFill="1" applyBorder="1" applyAlignment="1">
      <alignment horizontal="center"/>
    </xf>
    <xf numFmtId="0" fontId="1" fillId="4" borderId="52" xfId="0" applyFont="1" applyFill="1" applyBorder="1" applyAlignment="1">
      <alignment horizontal="left"/>
    </xf>
    <xf numFmtId="0" fontId="1" fillId="4" borderId="52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/>
    </xf>
    <xf numFmtId="0" fontId="3" fillId="3" borderId="27" xfId="0" applyFont="1" applyFill="1" applyBorder="1"/>
    <xf numFmtId="0" fontId="3" fillId="3" borderId="26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3" fillId="3" borderId="36" xfId="0" applyFont="1" applyFill="1" applyBorder="1" applyAlignment="1">
      <alignment horizontal="left"/>
    </xf>
    <xf numFmtId="167" fontId="0" fillId="0" borderId="0" xfId="0" applyNumberFormat="1" applyAlignment="1">
      <alignment horizontal="center"/>
    </xf>
    <xf numFmtId="0" fontId="3" fillId="3" borderId="79" xfId="0" applyFont="1" applyFill="1" applyBorder="1" applyAlignment="1">
      <alignment horizontal="center"/>
    </xf>
    <xf numFmtId="0" fontId="3" fillId="3" borderId="26" xfId="0" applyFont="1" applyFill="1" applyBorder="1"/>
    <xf numFmtId="0" fontId="3" fillId="3" borderId="36" xfId="0" applyFont="1" applyFill="1" applyBorder="1"/>
    <xf numFmtId="0" fontId="3" fillId="3" borderId="80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/>
    </xf>
    <xf numFmtId="14" fontId="10" fillId="1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9E1F2"/>
      <color rgb="FFFF6699"/>
      <color rgb="FF66CCFF"/>
      <color rgb="FF0033C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DC0FA-1BE0-43A4-838C-6C6C8CB9B7C8}" name="Tabela8" displayName="Tabela8" ref="C3:V31" headerRowCount="0" totalsRowShown="0" headerRowDxfId="43" headerRowBorderDxfId="42" tableBorderDxfId="41" totalsRowBorderDxfId="40">
  <tableColumns count="20">
    <tableColumn id="1" xr3:uid="{1B95EF52-23D1-44BD-B9C9-2072B84C1D0E}" name="Coluna1" headerRowDxfId="39" dataDxfId="38"/>
    <tableColumn id="2" xr3:uid="{9CBC2770-A32C-41DB-8955-9DC7814D42D3}" name="Coluna2" headerRowDxfId="37" dataDxfId="36"/>
    <tableColumn id="3" xr3:uid="{6EEC183A-567E-4E8E-9012-A7F9698890D5}" name="Coluna3" headerRowDxfId="35" dataDxfId="34"/>
    <tableColumn id="4" xr3:uid="{25232989-4650-4D2E-BA75-8B52822E853A}" name="Coluna4" headerRowDxfId="33" dataDxfId="32"/>
    <tableColumn id="5" xr3:uid="{848EB7DA-E9DB-4129-84A1-57FB249E30A7}" name="Coluna5" headerRowDxfId="31" dataDxfId="30"/>
    <tableColumn id="6" xr3:uid="{81C6E106-2E66-4C6A-BF8D-BD5DBA9ECA1F}" name="Coluna6" headerRowDxfId="29" dataDxfId="28"/>
    <tableColumn id="7" xr3:uid="{AD154868-1696-4881-9E54-9E1347C71FB5}" name="Coluna7" headerRowDxfId="27" dataDxfId="26"/>
    <tableColumn id="8" xr3:uid="{B3123CAA-B6C4-4598-B42E-CDC83399CCFD}" name="Coluna8" headerRowDxfId="25" dataDxfId="24"/>
    <tableColumn id="9" xr3:uid="{6C99D928-8A07-493E-8C0B-CB83DC720EC0}" name="Coluna9" headerRowDxfId="23" dataDxfId="22"/>
    <tableColumn id="10" xr3:uid="{D8D000D6-1AC6-4863-97A5-AEC1981C966C}" name="Coluna10" headerRowDxfId="21" dataDxfId="20"/>
    <tableColumn id="11" xr3:uid="{1C55012D-8D27-4713-BC92-716497FA1E86}" name="Coluna11" headerRowDxfId="19" dataDxfId="18"/>
    <tableColumn id="12" xr3:uid="{455B8846-4AA6-48EC-B2A4-7DD3FE521A25}" name="Coluna12" headerRowDxfId="17" dataDxfId="16"/>
    <tableColumn id="17" xr3:uid="{66F67BAF-B5F4-4DD0-B664-EF36786513E9}" name="Coluna17" headerRowDxfId="15" dataDxfId="14"/>
    <tableColumn id="18" xr3:uid="{AAFF58A2-27BE-44EC-B7FD-A8EC68EA437A}" name="Coluna18" headerRowDxfId="13" dataDxfId="12"/>
    <tableColumn id="19" xr3:uid="{4A01512A-C97E-4C1E-A250-A382FAE63510}" name="Coluna19" headerRowDxfId="11" dataDxfId="10"/>
    <tableColumn id="20" xr3:uid="{45F990EE-C43B-4377-8C1B-54AA0EDB47F2}" name="Coluna20" headerRowDxfId="9" dataDxfId="8"/>
    <tableColumn id="15" xr3:uid="{849AB3CD-77C4-4468-88B4-154CE58C61CC}" name="Coluna15" headerRowDxfId="7" dataDxfId="6"/>
    <tableColumn id="16" xr3:uid="{0A07A97B-EF2E-45CE-B0DB-8B7FEB786935}" name="Coluna16" headerRowDxfId="5" dataDxfId="4"/>
    <tableColumn id="13" xr3:uid="{EABF5BF6-2688-4D79-B236-4C8EE7F80972}" name="Coluna13" headerRowDxfId="3" dataDxfId="2"/>
    <tableColumn id="14" xr3:uid="{0DA11FD6-F710-463D-86B2-6E35C0DE83C4}" name="Coluna14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2854-34FD-4FDD-A117-A2B573A0AB96}">
  <dimension ref="A1:W196"/>
  <sheetViews>
    <sheetView showGridLines="0" tabSelected="1" zoomScaleNormal="10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4.42578125" style="12" bestFit="1" customWidth="1"/>
    <col min="2" max="2" width="7.140625" style="11" bestFit="1" customWidth="1"/>
    <col min="3" max="3" width="59.5703125" style="11" bestFit="1" customWidth="1"/>
    <col min="4" max="4" width="28" style="11" bestFit="1" customWidth="1"/>
    <col min="5" max="5" width="22.5703125" style="11" bestFit="1" customWidth="1"/>
    <col min="6" max="6" width="26.28515625" style="11" bestFit="1" customWidth="1"/>
    <col min="7" max="7" width="18.140625" style="11" bestFit="1" customWidth="1"/>
    <col min="8" max="9" width="11.28515625" style="13" bestFit="1" customWidth="1"/>
    <col min="10" max="10" width="5.42578125" style="53" bestFit="1" customWidth="1"/>
    <col min="11" max="11" width="9.28515625" style="13" bestFit="1" customWidth="1"/>
    <col min="12" max="12" width="6" style="11" bestFit="1" customWidth="1"/>
    <col min="13" max="13" width="5.7109375" style="11" bestFit="1" customWidth="1"/>
    <col min="14" max="14" width="1.7109375" customWidth="1"/>
    <col min="15" max="15" width="11.5703125" bestFit="1" customWidth="1"/>
    <col min="16" max="16" width="7.42578125" bestFit="1" customWidth="1"/>
    <col min="17" max="17" width="5.5703125" bestFit="1" customWidth="1"/>
    <col min="18" max="18" width="8.85546875" bestFit="1" customWidth="1"/>
    <col min="19" max="19" width="9.5703125" bestFit="1" customWidth="1"/>
    <col min="20" max="20" width="7.42578125" bestFit="1" customWidth="1"/>
    <col min="21" max="21" width="6.7109375" bestFit="1" customWidth="1"/>
    <col min="22" max="22" width="11.140625" bestFit="1" customWidth="1"/>
    <col min="23" max="23" width="10.28515625" bestFit="1" customWidth="1"/>
  </cols>
  <sheetData>
    <row r="1" spans="1:23" x14ac:dyDescent="0.25">
      <c r="A1" s="25" t="s">
        <v>0</v>
      </c>
      <c r="B1" s="26" t="s">
        <v>4</v>
      </c>
      <c r="C1" s="26" t="s">
        <v>1</v>
      </c>
      <c r="D1" s="26" t="s">
        <v>7</v>
      </c>
      <c r="E1" s="26" t="s">
        <v>8</v>
      </c>
      <c r="F1" s="145" t="s">
        <v>560</v>
      </c>
      <c r="G1" s="26" t="s">
        <v>561</v>
      </c>
      <c r="H1" s="27" t="s">
        <v>254</v>
      </c>
      <c r="I1" s="27" t="s">
        <v>253</v>
      </c>
      <c r="J1" s="51" t="s">
        <v>255</v>
      </c>
      <c r="K1" s="27" t="s">
        <v>25</v>
      </c>
      <c r="L1" s="26" t="s">
        <v>358</v>
      </c>
      <c r="M1" s="108" t="s">
        <v>334</v>
      </c>
      <c r="N1" s="2"/>
    </row>
    <row r="2" spans="1:23" x14ac:dyDescent="0.25">
      <c r="A2" s="65"/>
      <c r="B2"/>
      <c r="D2"/>
      <c r="E2"/>
      <c r="F2"/>
      <c r="H2" s="54"/>
      <c r="I2"/>
      <c r="J2" s="55"/>
      <c r="K2"/>
      <c r="L2"/>
      <c r="M2"/>
      <c r="N2" s="1"/>
    </row>
    <row r="3" spans="1:23" x14ac:dyDescent="0.25">
      <c r="A3" s="9"/>
      <c r="B3" s="3"/>
      <c r="C3" s="3"/>
      <c r="D3" s="3"/>
      <c r="E3" s="7"/>
      <c r="F3" s="146"/>
      <c r="G3" s="4"/>
      <c r="H3" s="7"/>
      <c r="I3" s="7"/>
      <c r="J3" s="52"/>
      <c r="K3" s="7"/>
      <c r="L3" s="3"/>
      <c r="M3" s="3"/>
      <c r="N3" s="1"/>
      <c r="O3" s="6" t="s">
        <v>9</v>
      </c>
      <c r="P3" s="15" t="s">
        <v>138</v>
      </c>
      <c r="Q3" s="22" t="s">
        <v>147</v>
      </c>
      <c r="R3" s="15" t="s">
        <v>139</v>
      </c>
      <c r="S3" s="22" t="s">
        <v>26</v>
      </c>
      <c r="T3" s="22" t="s">
        <v>27</v>
      </c>
      <c r="U3" s="22" t="s">
        <v>2</v>
      </c>
      <c r="V3" s="41" t="s">
        <v>162</v>
      </c>
      <c r="W3" s="21" t="s">
        <v>151</v>
      </c>
    </row>
    <row r="4" spans="1:23" x14ac:dyDescent="0.25">
      <c r="A4" s="9">
        <v>190</v>
      </c>
      <c r="B4" s="3" t="s">
        <v>6</v>
      </c>
      <c r="C4" s="3" t="s">
        <v>522</v>
      </c>
      <c r="D4" s="3" t="s">
        <v>265</v>
      </c>
      <c r="E4" s="7" t="s">
        <v>266</v>
      </c>
      <c r="F4" s="146" t="s">
        <v>574</v>
      </c>
      <c r="G4" s="4" t="s">
        <v>575</v>
      </c>
      <c r="H4" s="7">
        <v>46123</v>
      </c>
      <c r="I4" s="7"/>
      <c r="J4" s="52"/>
      <c r="K4" s="7" t="s">
        <v>26</v>
      </c>
      <c r="L4" s="3">
        <v>1376</v>
      </c>
      <c r="M4" s="3"/>
      <c r="N4" s="1"/>
      <c r="O4" s="60" t="s">
        <v>2</v>
      </c>
      <c r="P4" s="61">
        <f>SUMIFS(L:L,B:B,"Livro",I:I,"&gt;=01/01/2000",I:I,"&lt;=31/12/2099")</f>
        <v>45109</v>
      </c>
      <c r="Q4" s="62">
        <f>SUMIFS(L:L,B:B,"HQ",I:I,"&gt;=01/01/2000",I:I,"&lt;=31/12/2099")</f>
        <v>5812</v>
      </c>
      <c r="R4" s="62">
        <f>SUMIFS(L:L,B:B,"Mangá",I:I,"&gt;=01/01/2011",I:I,"&lt;=31/12/2024")</f>
        <v>664</v>
      </c>
      <c r="S4" s="62">
        <f>SUMIFS(L:L,K:K,"Físico",I:I,"&gt;=01/01/2000",I:I,"&lt;=31/12/2099")</f>
        <v>30837</v>
      </c>
      <c r="T4" s="62">
        <f>SUMIFS(L:L,K:K,"Digital",I:I,"&gt;=01/01/2000",I:I,"&lt;=31/12/2099")</f>
        <v>20748</v>
      </c>
      <c r="U4" s="63">
        <f>SUM(P4:R4)</f>
        <v>51585</v>
      </c>
      <c r="V4" s="63">
        <f>COUNTIFS(C:C,"*(*",I:I,"&gt;=01/01/2000",I:I,"&lt;=31/12/2099")</f>
        <v>2</v>
      </c>
      <c r="W4" s="64">
        <f>SUM(W7:W22)/15</f>
        <v>9.4110347580906737</v>
      </c>
    </row>
    <row r="5" spans="1:23" x14ac:dyDescent="0.25">
      <c r="A5" s="9">
        <v>189</v>
      </c>
      <c r="B5" s="3" t="s">
        <v>6</v>
      </c>
      <c r="C5" s="3" t="s">
        <v>546</v>
      </c>
      <c r="D5" s="3" t="s">
        <v>547</v>
      </c>
      <c r="E5" s="7" t="s">
        <v>545</v>
      </c>
      <c r="F5" s="146" t="s">
        <v>564</v>
      </c>
      <c r="G5" s="4" t="s">
        <v>577</v>
      </c>
      <c r="H5" s="7">
        <v>46304</v>
      </c>
      <c r="I5" s="7"/>
      <c r="J5" s="52"/>
      <c r="K5" s="7" t="s">
        <v>27</v>
      </c>
      <c r="L5" s="3">
        <v>116</v>
      </c>
      <c r="M5" s="3"/>
      <c r="N5" s="1"/>
    </row>
    <row r="6" spans="1:23" x14ac:dyDescent="0.25">
      <c r="A6" s="9">
        <v>188</v>
      </c>
      <c r="B6" s="3" t="s">
        <v>6</v>
      </c>
      <c r="C6" s="3" t="s">
        <v>554</v>
      </c>
      <c r="D6" s="3" t="s">
        <v>553</v>
      </c>
      <c r="E6" s="7" t="s">
        <v>555</v>
      </c>
      <c r="F6" s="146" t="s">
        <v>574</v>
      </c>
      <c r="G6" s="4" t="s">
        <v>576</v>
      </c>
      <c r="H6" s="7">
        <v>46299</v>
      </c>
      <c r="I6" s="7">
        <v>46303</v>
      </c>
      <c r="J6" s="52">
        <f t="shared" ref="J6:J52" si="0">IF(I6="", "", I6 - H6 + 1)</f>
        <v>5</v>
      </c>
      <c r="K6" s="7" t="s">
        <v>27</v>
      </c>
      <c r="L6" s="3">
        <v>148</v>
      </c>
      <c r="M6" s="3">
        <v>4</v>
      </c>
      <c r="N6" s="1"/>
      <c r="O6" s="34" t="s">
        <v>3</v>
      </c>
      <c r="P6" s="35" t="s">
        <v>138</v>
      </c>
      <c r="Q6" s="36" t="s">
        <v>147</v>
      </c>
      <c r="R6" s="35" t="s">
        <v>139</v>
      </c>
      <c r="S6" s="36" t="s">
        <v>26</v>
      </c>
      <c r="T6" s="36" t="s">
        <v>27</v>
      </c>
      <c r="U6" s="36" t="s">
        <v>2</v>
      </c>
      <c r="V6" s="36" t="s">
        <v>9</v>
      </c>
      <c r="W6" s="37" t="s">
        <v>151</v>
      </c>
    </row>
    <row r="7" spans="1:23" x14ac:dyDescent="0.25">
      <c r="A7" s="9">
        <v>187</v>
      </c>
      <c r="B7" s="3" t="s">
        <v>6</v>
      </c>
      <c r="C7" s="3" t="s">
        <v>559</v>
      </c>
      <c r="D7" s="3" t="s">
        <v>237</v>
      </c>
      <c r="E7" s="7" t="s">
        <v>495</v>
      </c>
      <c r="F7" s="146" t="s">
        <v>565</v>
      </c>
      <c r="G7" s="4" t="s">
        <v>578</v>
      </c>
      <c r="H7" s="7">
        <v>46295</v>
      </c>
      <c r="I7" s="7">
        <v>46303</v>
      </c>
      <c r="J7" s="52">
        <f t="shared" si="0"/>
        <v>9</v>
      </c>
      <c r="K7" s="7" t="s">
        <v>26</v>
      </c>
      <c r="L7" s="3">
        <v>232</v>
      </c>
      <c r="M7" s="3">
        <v>4</v>
      </c>
      <c r="N7" s="1"/>
      <c r="O7" s="38">
        <v>2011</v>
      </c>
      <c r="P7" s="17">
        <f>COUNTIFS(B:B,"Livro",I:I,"&gt;=01/01/2011",I:I,"&lt;=31/12/2011")</f>
        <v>2</v>
      </c>
      <c r="Q7" s="18">
        <f>COUNTIFS(B:B,"HQ",I:I,"&gt;=01/01/2011",I:I,"&lt;=31/12/2011")</f>
        <v>0</v>
      </c>
      <c r="R7" s="17">
        <f>COUNTIFS(B:B,"Mangá",I:I,"&gt;=01/01/2011",I:I,"&lt;=31/12/2011")</f>
        <v>0</v>
      </c>
      <c r="S7" s="16">
        <f>COUNTIFS(K:K,"Físico",I:I,"&gt;=01/01/2011",I:I,"&lt;=31/12/2011")</f>
        <v>2</v>
      </c>
      <c r="T7" s="16">
        <f>COUNTIFS(K:K,"Digital",I:I,"&gt;=01/01/2011",I:I,"&lt;=31/12/2011")</f>
        <v>0</v>
      </c>
      <c r="U7" s="16">
        <f>COUNTIFS(I:I,"&gt;=01/01/2011",I:I,"&lt;=31/12/2011")</f>
        <v>2</v>
      </c>
      <c r="V7" s="16">
        <f>SUMIFS(L:L,I:I,"&gt;=01/01/2011",I:I,"&lt;=31/12/2011")</f>
        <v>928</v>
      </c>
      <c r="W7" s="43">
        <f>V7/365</f>
        <v>2.5424657534246577</v>
      </c>
    </row>
    <row r="8" spans="1:23" x14ac:dyDescent="0.25">
      <c r="A8" s="9">
        <v>186</v>
      </c>
      <c r="B8" s="3" t="s">
        <v>6</v>
      </c>
      <c r="C8" s="3" t="s">
        <v>557</v>
      </c>
      <c r="D8" s="3" t="s">
        <v>556</v>
      </c>
      <c r="E8" s="7" t="s">
        <v>376</v>
      </c>
      <c r="F8" s="146" t="s">
        <v>566</v>
      </c>
      <c r="G8" s="4" t="s">
        <v>579</v>
      </c>
      <c r="H8" s="7">
        <v>46293</v>
      </c>
      <c r="I8" s="7">
        <v>46296</v>
      </c>
      <c r="J8" s="52">
        <f t="shared" si="0"/>
        <v>4</v>
      </c>
      <c r="K8" s="7" t="s">
        <v>26</v>
      </c>
      <c r="L8" s="3">
        <v>112</v>
      </c>
      <c r="M8" s="3">
        <v>4</v>
      </c>
      <c r="N8" s="1"/>
      <c r="O8" s="38">
        <v>2012</v>
      </c>
      <c r="P8" s="17">
        <f>COUNTIFS(B:B,"Livro",I:I,"&gt;=01/01/2012",I:I,"&lt;=31/12/2012")</f>
        <v>2</v>
      </c>
      <c r="Q8" s="18">
        <f>COUNTIFS(B:B,"HQ",I:I,"&gt;=01/01/2012",I:I,"&lt;=31/12/2012")</f>
        <v>0</v>
      </c>
      <c r="R8" s="17">
        <f>COUNTIFS(B:B,"Mangá",I:I,"&gt;=01/01/2012",I:I,"&lt;=31/12/2012")</f>
        <v>0</v>
      </c>
      <c r="S8" s="16">
        <f>COUNTIFS(K:K,"Físico",I:I,"&gt;=01/01/2012",I:I,"&lt;=31/12/2012")</f>
        <v>2</v>
      </c>
      <c r="T8" s="16">
        <f>COUNTIFS(K:K,"Digital",I:I,"&gt;=01/01/2012",I:I,"&lt;=31/12/2012")</f>
        <v>0</v>
      </c>
      <c r="U8" s="16">
        <f>COUNTIFS(I:I,"&gt;=01/01/2012",I:I,"&lt;=31/12/2012")</f>
        <v>2</v>
      </c>
      <c r="V8" s="16">
        <f>SUMIFS(L:L,I:I,"&gt;=01/01/2012",I:I,"&lt;=31/12/2012")</f>
        <v>616</v>
      </c>
      <c r="W8" s="43">
        <f>V8/366</f>
        <v>1.6830601092896176</v>
      </c>
    </row>
    <row r="9" spans="1:23" x14ac:dyDescent="0.25">
      <c r="A9" s="9">
        <v>185</v>
      </c>
      <c r="B9" s="3" t="s">
        <v>6</v>
      </c>
      <c r="C9" s="3" t="s">
        <v>558</v>
      </c>
      <c r="D9" s="3" t="s">
        <v>551</v>
      </c>
      <c r="E9" s="7" t="s">
        <v>552</v>
      </c>
      <c r="F9" s="146" t="s">
        <v>567</v>
      </c>
      <c r="G9" s="4" t="s">
        <v>578</v>
      </c>
      <c r="H9" s="7">
        <v>46287</v>
      </c>
      <c r="I9" s="7">
        <v>46291</v>
      </c>
      <c r="J9" s="52">
        <f t="shared" si="0"/>
        <v>5</v>
      </c>
      <c r="K9" s="7" t="s">
        <v>26</v>
      </c>
      <c r="L9" s="3">
        <v>144</v>
      </c>
      <c r="M9" s="3">
        <v>4</v>
      </c>
      <c r="N9" s="1"/>
      <c r="O9" s="38">
        <v>2013</v>
      </c>
      <c r="P9" s="17">
        <f>COUNTIFS(B:B,"Livro",I:I,"&gt;=01/01/2013",I:I,"&lt;=31/12/2013")</f>
        <v>3</v>
      </c>
      <c r="Q9" s="18">
        <f>COUNTIFS(B:B,"HQ",I:I,"&gt;=01/01/2013",I:I,"&lt;=31/12/2013")</f>
        <v>0</v>
      </c>
      <c r="R9" s="17">
        <f>COUNTIFS(B:B,"Mangá",I:I,"&gt;=01/01/2013",I:I,"&lt;=31/12/2013")</f>
        <v>0</v>
      </c>
      <c r="S9" s="16">
        <f>COUNTIFS(K:K,"Físico",I:I,"&gt;=01/01/2013",I:I,"&lt;=31/12/2013")</f>
        <v>3</v>
      </c>
      <c r="T9" s="16">
        <f>COUNTIFS(K:K,"Digital",I:I,"&gt;=01/01/2013",I:I,"&lt;=31/12/2013")</f>
        <v>0</v>
      </c>
      <c r="U9" s="16">
        <f>COUNTIFS(I:I,"&gt;=01/01/2013",I:I,"&lt;=31/12/2013")</f>
        <v>3</v>
      </c>
      <c r="V9" s="16">
        <f>SUMIFS(L:L,I:I,"&gt;=01/01/2013",I:I,"&lt;=31/12/2013")</f>
        <v>823</v>
      </c>
      <c r="W9" s="43">
        <f>V9/365</f>
        <v>2.2547945205479452</v>
      </c>
    </row>
    <row r="10" spans="1:23" x14ac:dyDescent="0.25">
      <c r="A10" s="9">
        <v>184</v>
      </c>
      <c r="B10" s="3" t="s">
        <v>6</v>
      </c>
      <c r="C10" s="3" t="s">
        <v>549</v>
      </c>
      <c r="D10" s="3" t="s">
        <v>550</v>
      </c>
      <c r="E10" s="7" t="s">
        <v>230</v>
      </c>
      <c r="F10" s="146" t="s">
        <v>564</v>
      </c>
      <c r="G10" s="4" t="s">
        <v>575</v>
      </c>
      <c r="H10" s="7">
        <v>46266</v>
      </c>
      <c r="I10" s="7">
        <v>46284</v>
      </c>
      <c r="J10" s="52">
        <f t="shared" si="0"/>
        <v>19</v>
      </c>
      <c r="K10" s="7" t="s">
        <v>26</v>
      </c>
      <c r="L10" s="3">
        <v>368</v>
      </c>
      <c r="M10" s="3">
        <v>4.5</v>
      </c>
      <c r="N10" s="1"/>
      <c r="O10" s="38">
        <v>2014</v>
      </c>
      <c r="P10" s="17">
        <f>COUNTIFS(B:B,"Livro",I:I,"&gt;=01/01/2014",I:I,"&lt;=31/12/2014")</f>
        <v>15</v>
      </c>
      <c r="Q10" s="18">
        <f>COUNTIFS(B:B,"HQ",I:I,"&gt;=01/01/2014",I:I,"&lt;=31/12/2014")</f>
        <v>0</v>
      </c>
      <c r="R10" s="17">
        <f>COUNTIFS(B:B,"Mangá",I:I,"&gt;=01/01/2014",I:I,"&lt;=31/12/2014")</f>
        <v>0</v>
      </c>
      <c r="S10" s="16">
        <f>COUNTIFS(K:K,"Físico",I:I,"&gt;=01/01/2014",I:I,"&lt;=31/12/2014")</f>
        <v>15</v>
      </c>
      <c r="T10" s="16">
        <f>COUNTIFS(K:K,"Digital",I:I,"&gt;=01/01/2014",I:I,"&lt;=31/12/2014")</f>
        <v>0</v>
      </c>
      <c r="U10" s="16">
        <f>COUNTIFS(I:I,"&gt;=01/01/2014",I:I,"&lt;=31/12/2014")</f>
        <v>15</v>
      </c>
      <c r="V10" s="16">
        <f>SUMIFS(L:L,I:I,"&gt;=01/01/2014",I:I,"&lt;=31/12/2014")</f>
        <v>3462</v>
      </c>
      <c r="W10" s="43">
        <f>V10/365</f>
        <v>9.4849315068493159</v>
      </c>
    </row>
    <row r="11" spans="1:23" x14ac:dyDescent="0.25">
      <c r="A11" s="9">
        <v>183</v>
      </c>
      <c r="B11" s="3" t="s">
        <v>6</v>
      </c>
      <c r="C11" s="3" t="s">
        <v>548</v>
      </c>
      <c r="D11" s="3" t="s">
        <v>229</v>
      </c>
      <c r="E11" s="7" t="s">
        <v>230</v>
      </c>
      <c r="F11" s="146" t="s">
        <v>568</v>
      </c>
      <c r="G11" s="4" t="s">
        <v>580</v>
      </c>
      <c r="H11" s="7">
        <v>46263</v>
      </c>
      <c r="I11" s="7">
        <v>46272</v>
      </c>
      <c r="J11" s="52">
        <f t="shared" si="0"/>
        <v>10</v>
      </c>
      <c r="K11" s="7" t="s">
        <v>26</v>
      </c>
      <c r="L11" s="3">
        <v>184</v>
      </c>
      <c r="M11" s="3">
        <v>4</v>
      </c>
      <c r="N11" s="1"/>
      <c r="O11" s="38">
        <v>2015</v>
      </c>
      <c r="P11" s="17">
        <f>COUNTIFS(B:B,"Livro",I:I,"&gt;=01/01/2015",I:I,"&lt;=31/12/2015")</f>
        <v>1</v>
      </c>
      <c r="Q11" s="18">
        <f>COUNTIFS(B:B,"HQ",I:I,"&gt;=01/01/2015",I:I,"&lt;=31/12/2015")</f>
        <v>1</v>
      </c>
      <c r="R11" s="17">
        <f>COUNTIFS(B:B,"Mangá",I:I,"&gt;=01/01/2015",I:I,"&lt;=31/12/2015")</f>
        <v>0</v>
      </c>
      <c r="S11" s="16">
        <f>COUNTIFS(K:K,"Físico",I:I,"&gt;=01/01/2015",I:I,"&lt;=31/12/2015")</f>
        <v>2</v>
      </c>
      <c r="T11" s="16">
        <f>COUNTIFS(K:K,"Digital",I:I,"&gt;=01/01/2015",I:I,"&lt;=31/12/2015")</f>
        <v>0</v>
      </c>
      <c r="U11" s="16">
        <f>COUNTIFS(I:I,"&gt;=01/01/2015",I:I,"&lt;=31/12/2015")</f>
        <v>2</v>
      </c>
      <c r="V11" s="16">
        <f>SUMIFS(L:L,I:I,"&gt;=01/01/2015",I:I,"&lt;=31/12/2015")</f>
        <v>482</v>
      </c>
      <c r="W11" s="43">
        <f>V11/365</f>
        <v>1.3205479452054794</v>
      </c>
    </row>
    <row r="12" spans="1:23" x14ac:dyDescent="0.25">
      <c r="A12" s="9">
        <v>182</v>
      </c>
      <c r="B12" s="3" t="s">
        <v>6</v>
      </c>
      <c r="C12" s="3" t="s">
        <v>544</v>
      </c>
      <c r="D12" s="3" t="s">
        <v>225</v>
      </c>
      <c r="E12" s="7" t="s">
        <v>226</v>
      </c>
      <c r="F12" s="146" t="s">
        <v>568</v>
      </c>
      <c r="G12" s="4" t="s">
        <v>575</v>
      </c>
      <c r="H12" s="7">
        <v>46248</v>
      </c>
      <c r="I12" s="7">
        <v>46266</v>
      </c>
      <c r="J12" s="52">
        <f t="shared" si="0"/>
        <v>19</v>
      </c>
      <c r="K12" s="7" t="s">
        <v>26</v>
      </c>
      <c r="L12" s="3">
        <v>382</v>
      </c>
      <c r="M12" s="3">
        <v>4.5</v>
      </c>
      <c r="N12" s="1"/>
      <c r="O12" s="38">
        <v>2016</v>
      </c>
      <c r="P12" s="17">
        <f>COUNTIFS(B:B,"Livro",I:I,"&gt;=01/01/2016",I:I,"&lt;=31/12/2016")</f>
        <v>0</v>
      </c>
      <c r="Q12" s="18">
        <f>COUNTIFS(B:B,"HQ",I:I,"&gt;=01/01/2016",I:I,"&lt;=31/12/2016")</f>
        <v>10</v>
      </c>
      <c r="R12" s="17">
        <f>COUNTIFS(B:B,"Mangá",I:I,"&gt;=01/01/2016",I:I,"&lt;=31/12/2016")</f>
        <v>0</v>
      </c>
      <c r="S12" s="16">
        <f>COUNTIFS(K:K,"Físico",I:I,"&gt;=01/01/2016",I:I,"&lt;=31/12/2016")</f>
        <v>10</v>
      </c>
      <c r="T12" s="16">
        <f>COUNTIFS(K:K,"Digital",I:I,"&gt;=01/01/2016",I:I,"&lt;=31/12/2016")</f>
        <v>0</v>
      </c>
      <c r="U12" s="16">
        <f>COUNTIFS(I:I,"&gt;=01/01/2016",I:I,"&lt;=31/12/2016")</f>
        <v>10</v>
      </c>
      <c r="V12" s="16">
        <f>SUMIFS(L:L,I:I,"&gt;=01/01/2016",I:I,"&lt;=31/12/2016")</f>
        <v>2216</v>
      </c>
      <c r="W12" s="43">
        <f>V12/366</f>
        <v>6.054644808743169</v>
      </c>
    </row>
    <row r="13" spans="1:23" x14ac:dyDescent="0.25">
      <c r="A13" s="9">
        <v>181</v>
      </c>
      <c r="B13" s="3" t="s">
        <v>6</v>
      </c>
      <c r="C13" s="3" t="s">
        <v>539</v>
      </c>
      <c r="D13" s="3" t="s">
        <v>540</v>
      </c>
      <c r="E13" s="7" t="s">
        <v>434</v>
      </c>
      <c r="F13" s="146" t="s">
        <v>566</v>
      </c>
      <c r="G13" s="4" t="s">
        <v>579</v>
      </c>
      <c r="H13" s="7">
        <v>46215</v>
      </c>
      <c r="I13" s="7">
        <v>46258</v>
      </c>
      <c r="J13" s="52">
        <f t="shared" si="0"/>
        <v>44</v>
      </c>
      <c r="K13" s="7" t="s">
        <v>27</v>
      </c>
      <c r="L13" s="3">
        <v>213</v>
      </c>
      <c r="M13" s="3">
        <v>4</v>
      </c>
      <c r="N13" s="1"/>
      <c r="O13" s="38">
        <v>2017</v>
      </c>
      <c r="P13" s="17">
        <f>COUNTIFS(B:B,"Livro",I:I,"&gt;=01/01/2017",I:I,"&lt;=31/12/2017")</f>
        <v>3</v>
      </c>
      <c r="Q13" s="18">
        <f>COUNTIFS(B:B,"HQ",I:I,"&gt;=01/01/2017",I:I,"&lt;=31/12/2017")</f>
        <v>1</v>
      </c>
      <c r="R13" s="17">
        <f>COUNTIFS(B:B,"Mangá",I:I,"&gt;=01/01/2017",I:I,"&lt;=31/12/2017")</f>
        <v>0</v>
      </c>
      <c r="S13" s="16">
        <f>COUNTIFS(K:K,"Físico",I:I,"&gt;=01/01/2017",I:I,"&lt;=31/12/2017")</f>
        <v>4</v>
      </c>
      <c r="T13" s="16">
        <f>COUNTIFS(K:K,"Digital",I:I,"&gt;=01/01/2017",I:I,"&lt;=31/12/2017")</f>
        <v>0</v>
      </c>
      <c r="U13" s="16">
        <f>COUNTIFS(I:I,"&gt;=01/01/2017",I:I,"&lt;=31/12/2017")</f>
        <v>4</v>
      </c>
      <c r="V13" s="16">
        <f>SUMIFS(L:L,I:I,"&gt;=01/01/2017",I:I,"&lt;=31/12/2017")</f>
        <v>490</v>
      </c>
      <c r="W13" s="43">
        <f>V13/365</f>
        <v>1.3424657534246576</v>
      </c>
    </row>
    <row r="14" spans="1:23" x14ac:dyDescent="0.25">
      <c r="A14" s="9">
        <v>180</v>
      </c>
      <c r="B14" s="3" t="s">
        <v>6</v>
      </c>
      <c r="C14" s="3" t="s">
        <v>536</v>
      </c>
      <c r="D14" s="3" t="s">
        <v>330</v>
      </c>
      <c r="E14" s="7" t="s">
        <v>97</v>
      </c>
      <c r="F14" s="146" t="s">
        <v>574</v>
      </c>
      <c r="G14" s="4" t="s">
        <v>575</v>
      </c>
      <c r="H14" s="7">
        <v>46204</v>
      </c>
      <c r="I14" s="7">
        <v>46240</v>
      </c>
      <c r="J14" s="52">
        <f t="shared" si="0"/>
        <v>37</v>
      </c>
      <c r="K14" s="7" t="s">
        <v>27</v>
      </c>
      <c r="L14" s="3">
        <v>762</v>
      </c>
      <c r="M14" s="3">
        <v>3.5</v>
      </c>
      <c r="N14" s="1"/>
      <c r="O14" s="38">
        <v>2018</v>
      </c>
      <c r="P14" s="17">
        <f>COUNTIFS(B:B,"Livro",I:I,"&gt;=01/01/2018",I:I,"&lt;=31/12/2018")</f>
        <v>0</v>
      </c>
      <c r="Q14" s="18">
        <f>COUNTIFS(B:B,"HQ",I:I,"&gt;=01/01/2018",I:I,"&lt;=31/12/2018")</f>
        <v>0</v>
      </c>
      <c r="R14" s="17">
        <f>COUNTIFS(B:B,"Mangá",I:I,"&gt;=01/01/2018",I:I,"&lt;=31/12/2018")</f>
        <v>0</v>
      </c>
      <c r="S14" s="16">
        <f>COUNTIFS(K:K,"Físico",I:I,"&gt;=01/01/2018",I:I,"&lt;=31/12/2018")</f>
        <v>0</v>
      </c>
      <c r="T14" s="16">
        <f>COUNTIFS(K:K,"Digital",I:I,"&gt;=01/01/2018",I:I,"&lt;=31/12/2018")</f>
        <v>0</v>
      </c>
      <c r="U14" s="16">
        <f>COUNTIFS(I:I,"&gt;=01/01/2018",I:I,"&lt;=31/12/2018")</f>
        <v>0</v>
      </c>
      <c r="V14" s="16">
        <f>SUMIFS(L:L,I:I,"&gt;=01/01/2018",I:I,"&lt;=31/12/2018")</f>
        <v>0</v>
      </c>
      <c r="W14" s="43">
        <f>V14/365</f>
        <v>0</v>
      </c>
    </row>
    <row r="15" spans="1:23" x14ac:dyDescent="0.25">
      <c r="A15" s="9">
        <v>179</v>
      </c>
      <c r="B15" s="3" t="s">
        <v>6</v>
      </c>
      <c r="C15" s="3" t="s">
        <v>541</v>
      </c>
      <c r="D15" s="3" t="s">
        <v>542</v>
      </c>
      <c r="E15" s="7" t="s">
        <v>543</v>
      </c>
      <c r="F15" s="146" t="s">
        <v>566</v>
      </c>
      <c r="G15" s="4" t="s">
        <v>575</v>
      </c>
      <c r="H15" s="7">
        <v>46221</v>
      </c>
      <c r="I15" s="7">
        <v>46222</v>
      </c>
      <c r="J15" s="52">
        <f t="shared" si="0"/>
        <v>2</v>
      </c>
      <c r="K15" s="7" t="s">
        <v>27</v>
      </c>
      <c r="L15" s="3">
        <v>39</v>
      </c>
      <c r="M15" s="3">
        <v>4</v>
      </c>
      <c r="N15" s="1"/>
      <c r="O15" s="38">
        <v>2019</v>
      </c>
      <c r="P15" s="17">
        <f>COUNTIFS(B:B,"Livro",I:I,"&gt;=01/01/2019",I:I,"&lt;=31/12/2019")</f>
        <v>7</v>
      </c>
      <c r="Q15" s="18">
        <f>COUNTIFS(B:B,"HQ",I:I,"&gt;=01/01/2019",I:I,"&lt;=31/12/2019")</f>
        <v>0</v>
      </c>
      <c r="R15" s="17">
        <f>COUNTIFS(B:B,"Mangá",I:I,"&gt;=01/01/2019",I:I,"&lt;=31/12/2019")</f>
        <v>0</v>
      </c>
      <c r="S15" s="16">
        <f>COUNTIFS(K:K,"Físico",I:I,"&gt;=01/01/2019",I:I,"&lt;=31/12/2019")</f>
        <v>0</v>
      </c>
      <c r="T15" s="16">
        <f>COUNTIFS(K:K,"Digital",I:I,"&gt;=01/01/2019",I:I,"&lt;=31/12/2019")</f>
        <v>7</v>
      </c>
      <c r="U15" s="16">
        <f>COUNTIFS(I:I,"&gt;=01/01/2019",I:I,"&lt;=31/12/2019")</f>
        <v>7</v>
      </c>
      <c r="V15" s="16">
        <f>SUMIFS(L:L,I:I,"&gt;=01/01/2019",I:I,"&lt;=31/12/2019")</f>
        <v>2087</v>
      </c>
      <c r="W15" s="43">
        <f>V15/365</f>
        <v>5.7178082191780826</v>
      </c>
    </row>
    <row r="16" spans="1:23" x14ac:dyDescent="0.25">
      <c r="A16" s="9">
        <v>178</v>
      </c>
      <c r="B16" s="3" t="s">
        <v>6</v>
      </c>
      <c r="C16" s="3" t="s">
        <v>537</v>
      </c>
      <c r="D16" s="3" t="s">
        <v>538</v>
      </c>
      <c r="E16" s="7" t="s">
        <v>434</v>
      </c>
      <c r="F16" s="146" t="s">
        <v>566</v>
      </c>
      <c r="G16" s="4" t="s">
        <v>577</v>
      </c>
      <c r="H16" s="7">
        <v>46211</v>
      </c>
      <c r="I16" s="7">
        <v>46212</v>
      </c>
      <c r="J16" s="52">
        <f t="shared" si="0"/>
        <v>2</v>
      </c>
      <c r="K16" s="7" t="s">
        <v>27</v>
      </c>
      <c r="L16" s="3">
        <v>153</v>
      </c>
      <c r="M16" s="3">
        <v>4.5</v>
      </c>
      <c r="N16" s="1"/>
      <c r="O16" s="39">
        <v>2020</v>
      </c>
      <c r="P16" s="19">
        <f>COUNTIFS(B:B,"Livro",I:I,"&gt;=01/01/2020",I:I,"&lt;=31/12/2020")</f>
        <v>0</v>
      </c>
      <c r="Q16" s="18">
        <f>COUNTIFS(B:B,"HQ",I:I,"&gt;=01/01/2020",I:I,"&lt;=31/12/2020")</f>
        <v>0</v>
      </c>
      <c r="R16" s="19">
        <f>COUNTIFS(B:B,"Mangá",I:I,"&gt;=01/01/2020",I:I,"&lt;=31/12/2020")</f>
        <v>0</v>
      </c>
      <c r="S16" s="16">
        <f>COUNTIFS(K:K,"Físico",I:I,"&gt;=01/01/2020",I:I,"&lt;=31/12/2020")</f>
        <v>0</v>
      </c>
      <c r="T16" s="16">
        <f>COUNTIFS(K:K,"Digital",I:I,"&gt;=01/01/2020",I:I,"&lt;=31/12/2020")</f>
        <v>0</v>
      </c>
      <c r="U16" s="16">
        <f>COUNTIFS(I:I,"&gt;=01/01/2020",I:I,"&lt;=31/12/2020")</f>
        <v>0</v>
      </c>
      <c r="V16" s="16">
        <f>SUMIFS(L:L,I:I,"&gt;=01/01/2020",I:I,"&lt;=31/12/2020")</f>
        <v>0</v>
      </c>
      <c r="W16" s="43">
        <f>V16/366</f>
        <v>0</v>
      </c>
    </row>
    <row r="17" spans="1:23" x14ac:dyDescent="0.25">
      <c r="A17" s="9">
        <v>177</v>
      </c>
      <c r="B17" s="3" t="s">
        <v>6</v>
      </c>
      <c r="C17" s="3" t="s">
        <v>535</v>
      </c>
      <c r="D17" s="3" t="s">
        <v>462</v>
      </c>
      <c r="E17" s="7" t="s">
        <v>233</v>
      </c>
      <c r="F17" s="146" t="s">
        <v>619</v>
      </c>
      <c r="G17" s="4" t="s">
        <v>581</v>
      </c>
      <c r="H17" s="7">
        <v>46192</v>
      </c>
      <c r="I17" s="7">
        <v>46197</v>
      </c>
      <c r="J17" s="52">
        <f t="shared" si="0"/>
        <v>6</v>
      </c>
      <c r="K17" s="7" t="s">
        <v>26</v>
      </c>
      <c r="L17" s="3">
        <v>232</v>
      </c>
      <c r="M17" s="3">
        <v>4</v>
      </c>
      <c r="N17" s="1"/>
      <c r="O17" s="39">
        <v>2021</v>
      </c>
      <c r="P17" s="19">
        <f>COUNTIFS(B:B,"Livro",I:I,"&gt;=01/01/2021",I:I,"&lt;=31/12/2021")</f>
        <v>1</v>
      </c>
      <c r="Q17" s="18">
        <f>COUNTIFS(B:B,"HQ",I:I,"&gt;=01/01/2021",I:I,"&lt;=31/12/2021")</f>
        <v>0</v>
      </c>
      <c r="R17" s="19">
        <f>COUNTIFS(B:B,"Mangá",I:I,"&gt;=01/01/2021",I:I,"&lt;=31/12/2021")</f>
        <v>0</v>
      </c>
      <c r="S17" s="16">
        <f>COUNTIFS(K:K,"Físico",I:I,"&gt;=01/01/2021",I:I,"&lt;=31/12/2021")</f>
        <v>1</v>
      </c>
      <c r="T17" s="16">
        <f>COUNTIFS(K:K,"Digital",I:I,"&gt;=01/01/2021",I:I,"&lt;=31/12/2021")</f>
        <v>0</v>
      </c>
      <c r="U17" s="16">
        <f>COUNTIFS(I:I,"&gt;=01/01/2021",I:I,"&lt;=31/12/2021")</f>
        <v>1</v>
      </c>
      <c r="V17" s="16">
        <f>SUMIFS(L:L,I:I,"&gt;=01/01/2021",I:I,"&lt;=31/12/2021")</f>
        <v>352</v>
      </c>
      <c r="W17" s="43">
        <f>V17/365</f>
        <v>0.96438356164383565</v>
      </c>
    </row>
    <row r="18" spans="1:23" x14ac:dyDescent="0.25">
      <c r="A18" s="9">
        <v>176</v>
      </c>
      <c r="B18" s="3" t="s">
        <v>6</v>
      </c>
      <c r="C18" s="3" t="s">
        <v>534</v>
      </c>
      <c r="D18" s="3" t="s">
        <v>241</v>
      </c>
      <c r="E18" s="7" t="s">
        <v>552</v>
      </c>
      <c r="F18" s="146" t="s">
        <v>620</v>
      </c>
      <c r="G18" s="4" t="s">
        <v>582</v>
      </c>
      <c r="H18" s="7">
        <v>46180</v>
      </c>
      <c r="I18" s="7">
        <v>46188</v>
      </c>
      <c r="J18" s="52">
        <f t="shared" si="0"/>
        <v>9</v>
      </c>
      <c r="K18" s="7" t="s">
        <v>27</v>
      </c>
      <c r="L18" s="3">
        <v>118</v>
      </c>
      <c r="M18" s="3">
        <v>4.5</v>
      </c>
      <c r="N18" s="1"/>
      <c r="O18" s="39">
        <v>2022</v>
      </c>
      <c r="P18" s="19">
        <f>COUNTIFS(B:B,"Livro",I:I,"&gt;=01/01/2022",I:I,"&lt;=31/12/2022")</f>
        <v>7</v>
      </c>
      <c r="Q18" s="18">
        <f>COUNTIFS(B:B,"HQ",I:I,"&gt;=01/01/2022",I:I,"&lt;=31/12/2022")</f>
        <v>0</v>
      </c>
      <c r="R18" s="19">
        <f>COUNTIFS(B:B,"Mangá",I:I,"&gt;=01/01/2022",I:I,"&lt;=31/12/2022")</f>
        <v>0</v>
      </c>
      <c r="S18" s="16">
        <f>COUNTIFS(K:K,"Físico",I:I,"&gt;=01/01/2022",I:I,"&lt;=31/12/2022")</f>
        <v>7</v>
      </c>
      <c r="T18" s="16">
        <f>COUNTIFS(K:K,"Digital",I:I,"&gt;=01/01/2022",I:I,"&lt;=31/12/2022")</f>
        <v>0</v>
      </c>
      <c r="U18" s="16">
        <f>COUNTIFS(I:I,"&gt;=01/01/2022",I:I,"&lt;=31/12/2022")</f>
        <v>7</v>
      </c>
      <c r="V18" s="16">
        <f>SUMIFS(L:L,I:I,"&gt;=01/01/2022",I:I,"&lt;=31/12/2022")</f>
        <v>2165</v>
      </c>
      <c r="W18" s="43">
        <f>V18/365</f>
        <v>5.9315068493150687</v>
      </c>
    </row>
    <row r="19" spans="1:23" x14ac:dyDescent="0.25">
      <c r="A19" s="9">
        <v>175</v>
      </c>
      <c r="B19" s="3" t="s">
        <v>6</v>
      </c>
      <c r="C19" s="3" t="s">
        <v>531</v>
      </c>
      <c r="D19" s="3" t="s">
        <v>532</v>
      </c>
      <c r="E19" s="7" t="s">
        <v>533</v>
      </c>
      <c r="F19" s="146" t="s">
        <v>621</v>
      </c>
      <c r="G19" s="4" t="s">
        <v>582</v>
      </c>
      <c r="H19" s="7">
        <v>46175</v>
      </c>
      <c r="I19" s="7">
        <v>46186</v>
      </c>
      <c r="J19" s="52">
        <f t="shared" si="0"/>
        <v>12</v>
      </c>
      <c r="K19" s="7" t="s">
        <v>27</v>
      </c>
      <c r="L19" s="3">
        <v>230</v>
      </c>
      <c r="M19" s="3">
        <v>4</v>
      </c>
      <c r="N19" s="1"/>
      <c r="O19" s="39">
        <v>2023</v>
      </c>
      <c r="P19" s="19">
        <f>COUNTIFS(B:B,"Livro",I:I,"&gt;=01/01/2023",I:I,"&lt;=31/12/2023")</f>
        <v>0</v>
      </c>
      <c r="Q19" s="18">
        <f>COUNTIFS(B:B,"HQ",I:I,"&gt;=01/01/2023",I:I,"&lt;=31/12/2023")</f>
        <v>0</v>
      </c>
      <c r="R19" s="19">
        <f>COUNTIFS(B:B,"Mangá",I:I,"&gt;=01/01/2023",I:I,"&lt;=31/12/2023")</f>
        <v>0</v>
      </c>
      <c r="S19" s="16">
        <f>COUNTIFS(K:K,"Físico",I:I,"&gt;=01/01/2023",I:I,"&lt;=31/12/2023")</f>
        <v>0</v>
      </c>
      <c r="T19" s="16">
        <f>COUNTIFS(K:K,"Digital",I:I,"&gt;=01/01/2023",I:I,"&lt;=31/12/2023")</f>
        <v>0</v>
      </c>
      <c r="U19" s="16">
        <f>COUNTIFS(I:I,"&gt;=01/01/2023",I:I,"&lt;=31/12/2023")</f>
        <v>0</v>
      </c>
      <c r="V19" s="16">
        <f>SUMIFS(L:L,I:I,"&gt;=01/01/2023",I:I,"&lt;=31/12/2023")</f>
        <v>0</v>
      </c>
      <c r="W19" s="43">
        <f>V19/365</f>
        <v>0</v>
      </c>
    </row>
    <row r="20" spans="1:23" x14ac:dyDescent="0.25">
      <c r="A20" s="9">
        <v>174</v>
      </c>
      <c r="B20" s="3" t="s">
        <v>6</v>
      </c>
      <c r="C20" s="3" t="s">
        <v>527</v>
      </c>
      <c r="D20" s="3" t="s">
        <v>528</v>
      </c>
      <c r="E20" s="7" t="s">
        <v>362</v>
      </c>
      <c r="F20" s="146" t="s">
        <v>565</v>
      </c>
      <c r="G20" s="4" t="s">
        <v>582</v>
      </c>
      <c r="H20" s="7">
        <v>46144</v>
      </c>
      <c r="I20" s="7">
        <v>46179</v>
      </c>
      <c r="J20" s="52">
        <f t="shared" si="0"/>
        <v>36</v>
      </c>
      <c r="K20" s="7" t="s">
        <v>27</v>
      </c>
      <c r="L20" s="3">
        <v>448</v>
      </c>
      <c r="M20" s="3">
        <v>3.5</v>
      </c>
      <c r="N20" s="1"/>
      <c r="O20" s="39">
        <v>2024</v>
      </c>
      <c r="P20" s="59">
        <f>COUNTIFS(B:B,"Livro",I:I,"&gt;=01/01/2024",I:I,"&lt;=31/12/2024")</f>
        <v>54</v>
      </c>
      <c r="Q20" s="16">
        <f>COUNTIFS(B:B,"HQ",I:I,"&gt;=01/01/2024",I:I,"&lt;=31/12/2024")</f>
        <v>15</v>
      </c>
      <c r="R20" s="19">
        <f>COUNTIFS(B:B,"Mangá",I:I,"&gt;=01/01/2024",I:I,"&lt;=31/12/2024")</f>
        <v>3</v>
      </c>
      <c r="S20" s="16">
        <f>COUNTIFS(K:K,"Físico",I:I,"&gt;=01/01/2024",I:I,"&lt;=31/12/2024")</f>
        <v>36</v>
      </c>
      <c r="T20" s="16">
        <f>COUNTIFS(K:K,"Digital",I:I,"&gt;=01/01/2024",I:I,"&lt;=31/12/2024")</f>
        <v>36</v>
      </c>
      <c r="U20" s="16">
        <f>COUNTIFS(I:I,"&gt;=01/01/2024",I:I,"&lt;=31/12/2024")</f>
        <v>72</v>
      </c>
      <c r="V20" s="16">
        <f>SUMIFS(L:L,I:I,"&gt;=01/01/2024",I:I,"&lt;=31/12/2024")</f>
        <v>18976</v>
      </c>
      <c r="W20" s="43">
        <f>V20/366</f>
        <v>51.846994535519123</v>
      </c>
    </row>
    <row r="21" spans="1:23" x14ac:dyDescent="0.25">
      <c r="A21" s="9">
        <v>173</v>
      </c>
      <c r="B21" s="3" t="s">
        <v>6</v>
      </c>
      <c r="C21" s="3" t="s">
        <v>420</v>
      </c>
      <c r="D21" s="3" t="s">
        <v>421</v>
      </c>
      <c r="E21" s="7" t="s">
        <v>422</v>
      </c>
      <c r="F21" s="146" t="s">
        <v>571</v>
      </c>
      <c r="G21" s="4" t="s">
        <v>583</v>
      </c>
      <c r="H21" s="7">
        <v>46067</v>
      </c>
      <c r="I21" s="7">
        <v>46163</v>
      </c>
      <c r="J21" s="52">
        <f t="shared" si="0"/>
        <v>97</v>
      </c>
      <c r="K21" s="7" t="s">
        <v>27</v>
      </c>
      <c r="L21" s="3">
        <v>554</v>
      </c>
      <c r="M21" s="3">
        <v>4</v>
      </c>
      <c r="N21" s="1"/>
      <c r="O21" s="39">
        <v>2025</v>
      </c>
      <c r="P21" s="19">
        <f>COUNTIFS(B:B,"Livro",I:I,"&gt;=01/01/2025",I:I,"&lt;=31/12/2025")</f>
        <v>36</v>
      </c>
      <c r="Q21" s="16">
        <f>COUNTIFS(B:B,"HQ",I:I,"&gt;=01/01/2025",I:I,"&lt;=31/12/2025")</f>
        <v>0</v>
      </c>
      <c r="R21" s="19">
        <f>COUNTIFS(B:B,"Mangá",I:I,"&gt;=01/01/2025",I:I,"&lt;=31/12/2025")</f>
        <v>0</v>
      </c>
      <c r="S21" s="16">
        <f>COUNTIFS(K:K,"Físico",I:I,"&gt;=01/01/2025",I:I,"&lt;=31/12/2025")</f>
        <v>18</v>
      </c>
      <c r="T21" s="16">
        <f>COUNTIFS(K:K,"Digital",I:I,"&gt;=01/01/2025",I:I,"&lt;=31/12/2025")</f>
        <v>18</v>
      </c>
      <c r="U21" s="16">
        <f>COUNTIFS(I:I,"&gt;=01/01/2025",I:I,"&lt;=31/12/2025")</f>
        <v>36</v>
      </c>
      <c r="V21" s="16">
        <f>SUMIFS(L:L,I:I,"&gt;=01/01/2025",I:I,"&lt;=31/12/2025")</f>
        <v>12409</v>
      </c>
      <c r="W21" s="43">
        <f>V21/365</f>
        <v>33.9972602739726</v>
      </c>
    </row>
    <row r="22" spans="1:23" x14ac:dyDescent="0.25">
      <c r="A22" s="9">
        <v>172</v>
      </c>
      <c r="B22" s="3" t="s">
        <v>6</v>
      </c>
      <c r="C22" s="3" t="s">
        <v>529</v>
      </c>
      <c r="D22" s="3" t="s">
        <v>528</v>
      </c>
      <c r="E22" s="7" t="s">
        <v>530</v>
      </c>
      <c r="F22" s="146" t="s">
        <v>598</v>
      </c>
      <c r="G22" s="4" t="s">
        <v>582</v>
      </c>
      <c r="H22" s="7">
        <v>46146</v>
      </c>
      <c r="I22" s="7">
        <v>46146</v>
      </c>
      <c r="J22" s="52">
        <f t="shared" si="0"/>
        <v>1</v>
      </c>
      <c r="K22" s="7" t="s">
        <v>26</v>
      </c>
      <c r="L22" s="3">
        <v>80</v>
      </c>
      <c r="M22" s="3">
        <v>3.5</v>
      </c>
      <c r="N22" s="1"/>
      <c r="O22" s="56">
        <v>2026</v>
      </c>
      <c r="P22" s="57">
        <f>COUNTIFS(B:B,"Livro",I:I,"&gt;=01/01/2026",I:I,"&lt;=31/12/2026")</f>
        <v>27</v>
      </c>
      <c r="Q22" s="40">
        <f>COUNTIFS(B:B,"HQ",I:I,"&gt;=01/01/2026",I:I,"&lt;=31/12/2026")</f>
        <v>0</v>
      </c>
      <c r="R22" s="57">
        <f>COUNTIFS(B:B,"Mangá",I:I,"&gt;=01/01/2026",I:I,"&lt;=31/12/2026")</f>
        <v>0</v>
      </c>
      <c r="S22" s="40">
        <f>COUNTIFS(K:K,"Físico",I:I,"&gt;=01/01/2026",I:I,"&lt;=31/12/2026")</f>
        <v>14</v>
      </c>
      <c r="T22" s="40">
        <f>COUNTIFS(K:K,"Digital",I:I,"&gt;=01/01/2026",I:I,"&lt;=31/12/2026")</f>
        <v>13</v>
      </c>
      <c r="U22" s="40">
        <f>COUNTIFS(I:I,"&gt;=01/01/2026",I:I,"&lt;=31/12/2026")</f>
        <v>27</v>
      </c>
      <c r="V22" s="40">
        <f>SUMIFS(L:L,I:I,"&gt;=01/01/2026",I:I,"&lt;=31/12/2026")</f>
        <v>6579</v>
      </c>
      <c r="W22" s="58">
        <f>V22/365</f>
        <v>18.024657534246575</v>
      </c>
    </row>
    <row r="23" spans="1:23" x14ac:dyDescent="0.25">
      <c r="A23" s="9">
        <v>171</v>
      </c>
      <c r="B23" s="3" t="s">
        <v>6</v>
      </c>
      <c r="C23" s="3" t="s">
        <v>525</v>
      </c>
      <c r="D23" s="3" t="s">
        <v>526</v>
      </c>
      <c r="E23" s="7" t="s">
        <v>131</v>
      </c>
      <c r="F23" s="146" t="s">
        <v>570</v>
      </c>
      <c r="G23" s="4" t="s">
        <v>579</v>
      </c>
      <c r="H23" s="7">
        <v>46134</v>
      </c>
      <c r="I23" s="7">
        <v>46140</v>
      </c>
      <c r="J23" s="52">
        <f t="shared" si="0"/>
        <v>7</v>
      </c>
      <c r="K23" s="7" t="s">
        <v>27</v>
      </c>
      <c r="L23" s="3">
        <v>81</v>
      </c>
      <c r="M23" s="3">
        <v>2</v>
      </c>
      <c r="N23" s="1"/>
    </row>
    <row r="24" spans="1:23" x14ac:dyDescent="0.25">
      <c r="A24" s="9">
        <v>170</v>
      </c>
      <c r="B24" s="3" t="s">
        <v>6</v>
      </c>
      <c r="C24" s="3" t="s">
        <v>521</v>
      </c>
      <c r="D24" s="3" t="s">
        <v>460</v>
      </c>
      <c r="E24" s="7" t="s">
        <v>168</v>
      </c>
      <c r="F24" s="146" t="s">
        <v>599</v>
      </c>
      <c r="G24" s="4" t="s">
        <v>575</v>
      </c>
      <c r="H24" s="7">
        <v>46128</v>
      </c>
      <c r="I24" s="7">
        <v>46130</v>
      </c>
      <c r="J24" s="52">
        <f t="shared" si="0"/>
        <v>3</v>
      </c>
      <c r="K24" s="7" t="s">
        <v>26</v>
      </c>
      <c r="L24" s="3">
        <v>128</v>
      </c>
      <c r="M24" s="3">
        <v>3.5</v>
      </c>
      <c r="N24" s="1"/>
      <c r="O24" s="33" t="s">
        <v>150</v>
      </c>
      <c r="P24" s="15" t="s">
        <v>138</v>
      </c>
      <c r="Q24" s="22" t="s">
        <v>147</v>
      </c>
      <c r="R24" s="15" t="s">
        <v>139</v>
      </c>
      <c r="S24" s="22" t="s">
        <v>26</v>
      </c>
      <c r="T24" s="22" t="s">
        <v>27</v>
      </c>
      <c r="U24" s="22" t="s">
        <v>2</v>
      </c>
      <c r="V24" s="22" t="s">
        <v>9</v>
      </c>
      <c r="W24" s="21" t="s">
        <v>152</v>
      </c>
    </row>
    <row r="25" spans="1:23" x14ac:dyDescent="0.25">
      <c r="A25" s="9">
        <v>169</v>
      </c>
      <c r="B25" s="3" t="s">
        <v>6</v>
      </c>
      <c r="C25" s="3" t="s">
        <v>461</v>
      </c>
      <c r="D25" s="3" t="s">
        <v>460</v>
      </c>
      <c r="E25" s="7" t="s">
        <v>233</v>
      </c>
      <c r="F25" s="146" t="s">
        <v>599</v>
      </c>
      <c r="G25" s="4" t="s">
        <v>575</v>
      </c>
      <c r="H25" s="7">
        <v>46120</v>
      </c>
      <c r="I25" s="7">
        <v>46130</v>
      </c>
      <c r="J25" s="52">
        <f t="shared" si="0"/>
        <v>11</v>
      </c>
      <c r="K25" s="7" t="s">
        <v>26</v>
      </c>
      <c r="L25" s="3">
        <v>240</v>
      </c>
      <c r="M25" s="3">
        <v>3.5</v>
      </c>
      <c r="N25" s="1"/>
      <c r="O25" s="60" t="s">
        <v>2</v>
      </c>
      <c r="P25" s="61">
        <f t="shared" ref="P25:V25" si="1">SUM(P7:P22)</f>
        <v>158</v>
      </c>
      <c r="Q25" s="62">
        <f t="shared" si="1"/>
        <v>27</v>
      </c>
      <c r="R25" s="62">
        <f t="shared" si="1"/>
        <v>3</v>
      </c>
      <c r="S25" s="62">
        <f t="shared" si="1"/>
        <v>114</v>
      </c>
      <c r="T25" s="62">
        <f t="shared" si="1"/>
        <v>74</v>
      </c>
      <c r="U25" s="62">
        <f t="shared" si="1"/>
        <v>188</v>
      </c>
      <c r="V25" s="63">
        <f t="shared" si="1"/>
        <v>51585</v>
      </c>
      <c r="W25" s="42">
        <f>SUM(U25)/16</f>
        <v>11.75</v>
      </c>
    </row>
    <row r="26" spans="1:23" x14ac:dyDescent="0.25">
      <c r="A26" s="9">
        <v>168</v>
      </c>
      <c r="B26" s="3" t="s">
        <v>6</v>
      </c>
      <c r="C26" s="3" t="s">
        <v>419</v>
      </c>
      <c r="D26" s="3" t="s">
        <v>116</v>
      </c>
      <c r="E26" s="7" t="s">
        <v>425</v>
      </c>
      <c r="F26" s="146" t="s">
        <v>574</v>
      </c>
      <c r="G26" s="4" t="s">
        <v>575</v>
      </c>
      <c r="H26" s="7">
        <v>46023</v>
      </c>
      <c r="I26" s="7">
        <v>46118</v>
      </c>
      <c r="J26" s="52">
        <f t="shared" si="0"/>
        <v>96</v>
      </c>
      <c r="K26" s="7" t="s">
        <v>26</v>
      </c>
      <c r="L26" s="3">
        <v>608</v>
      </c>
      <c r="M26" s="3">
        <v>4.5</v>
      </c>
      <c r="N26" s="1"/>
      <c r="V26" s="1"/>
    </row>
    <row r="27" spans="1:23" x14ac:dyDescent="0.25">
      <c r="A27" s="9">
        <v>167</v>
      </c>
      <c r="B27" s="3" t="s">
        <v>6</v>
      </c>
      <c r="C27" s="3" t="s">
        <v>433</v>
      </c>
      <c r="D27" s="3" t="s">
        <v>435</v>
      </c>
      <c r="E27" s="7" t="s">
        <v>434</v>
      </c>
      <c r="F27" s="146" t="s">
        <v>622</v>
      </c>
      <c r="G27" s="4" t="s">
        <v>579</v>
      </c>
      <c r="H27" s="7">
        <v>46084</v>
      </c>
      <c r="I27" s="7">
        <v>46094</v>
      </c>
      <c r="J27" s="52">
        <f t="shared" si="0"/>
        <v>11</v>
      </c>
      <c r="K27" s="7" t="s">
        <v>27</v>
      </c>
      <c r="L27" s="3">
        <v>251</v>
      </c>
      <c r="M27" s="3">
        <v>4</v>
      </c>
      <c r="N27" s="1"/>
      <c r="O27" s="33" t="s">
        <v>193</v>
      </c>
      <c r="P27" s="21" t="s">
        <v>2</v>
      </c>
      <c r="R27" s="110" t="s">
        <v>334</v>
      </c>
      <c r="S27" s="110" t="s">
        <v>4</v>
      </c>
      <c r="T27" s="110" t="s">
        <v>0</v>
      </c>
    </row>
    <row r="28" spans="1:23" x14ac:dyDescent="0.25">
      <c r="A28" s="9">
        <v>166</v>
      </c>
      <c r="B28" s="3" t="s">
        <v>6</v>
      </c>
      <c r="C28" s="3" t="s">
        <v>431</v>
      </c>
      <c r="D28" s="3" t="s">
        <v>432</v>
      </c>
      <c r="E28" s="7" t="s">
        <v>156</v>
      </c>
      <c r="F28" s="146" t="s">
        <v>623</v>
      </c>
      <c r="G28" s="4" t="s">
        <v>579</v>
      </c>
      <c r="H28" s="7">
        <v>46082</v>
      </c>
      <c r="I28" s="7">
        <v>46089</v>
      </c>
      <c r="J28" s="52">
        <f t="shared" si="0"/>
        <v>8</v>
      </c>
      <c r="K28" s="7" t="s">
        <v>27</v>
      </c>
      <c r="L28" s="3">
        <v>113</v>
      </c>
      <c r="M28" s="3">
        <v>2.5</v>
      </c>
      <c r="N28" s="1"/>
      <c r="O28" s="44" t="s">
        <v>194</v>
      </c>
      <c r="P28" s="46">
        <f>SUMPRODUCT((MONTH(I2:I924)=1)*(I2:I924&lt;&gt;""))</f>
        <v>11</v>
      </c>
      <c r="R28" s="122">
        <v>5</v>
      </c>
      <c r="S28" s="110" t="s">
        <v>336</v>
      </c>
      <c r="T28" s="110">
        <f>COUNTIF(M:M,5)</f>
        <v>36</v>
      </c>
    </row>
    <row r="29" spans="1:23" x14ac:dyDescent="0.25">
      <c r="A29" s="9">
        <v>165</v>
      </c>
      <c r="B29" s="3" t="s">
        <v>6</v>
      </c>
      <c r="C29" s="3" t="s">
        <v>429</v>
      </c>
      <c r="D29" s="3" t="s">
        <v>430</v>
      </c>
      <c r="E29" s="7" t="s">
        <v>238</v>
      </c>
      <c r="F29" s="146" t="s">
        <v>574</v>
      </c>
      <c r="G29" s="4" t="s">
        <v>584</v>
      </c>
      <c r="H29" s="7">
        <v>46076</v>
      </c>
      <c r="I29" s="7">
        <v>46081</v>
      </c>
      <c r="J29" s="52">
        <f t="shared" si="0"/>
        <v>6</v>
      </c>
      <c r="K29" s="7" t="s">
        <v>27</v>
      </c>
      <c r="L29" s="3">
        <v>119</v>
      </c>
      <c r="M29" s="3">
        <v>3</v>
      </c>
      <c r="N29" s="1"/>
      <c r="O29" s="47" t="s">
        <v>195</v>
      </c>
      <c r="P29" s="46">
        <f>SUMPRODUCT(--(MONTH(I2:I924)=2))</f>
        <v>8</v>
      </c>
      <c r="R29" s="122">
        <v>4.5</v>
      </c>
      <c r="S29" s="110" t="s">
        <v>337</v>
      </c>
      <c r="T29" s="110">
        <f>COUNTIF(M:M,4.5)</f>
        <v>16</v>
      </c>
    </row>
    <row r="30" spans="1:23" x14ac:dyDescent="0.25">
      <c r="A30" s="9">
        <v>164</v>
      </c>
      <c r="B30" s="3" t="s">
        <v>6</v>
      </c>
      <c r="C30" s="3" t="s">
        <v>427</v>
      </c>
      <c r="D30" s="3" t="s">
        <v>523</v>
      </c>
      <c r="E30" s="7" t="s">
        <v>313</v>
      </c>
      <c r="F30" s="146" t="s">
        <v>566</v>
      </c>
      <c r="G30" s="4" t="s">
        <v>585</v>
      </c>
      <c r="H30" s="7">
        <v>46069</v>
      </c>
      <c r="I30" s="7">
        <v>46073</v>
      </c>
      <c r="J30" s="52">
        <f t="shared" si="0"/>
        <v>5</v>
      </c>
      <c r="K30" s="7" t="s">
        <v>26</v>
      </c>
      <c r="L30" s="3">
        <v>208</v>
      </c>
      <c r="M30" s="3">
        <v>4</v>
      </c>
      <c r="N30" s="1"/>
      <c r="O30" s="45" t="s">
        <v>196</v>
      </c>
      <c r="P30" s="46">
        <f>SUMPRODUCT(--(MONTH(I2:I924)=3))</f>
        <v>10</v>
      </c>
      <c r="R30" s="122">
        <v>4</v>
      </c>
      <c r="S30" s="110" t="s">
        <v>338</v>
      </c>
      <c r="T30" s="110">
        <f>COUNTIF(M:M,4)</f>
        <v>90</v>
      </c>
    </row>
    <row r="31" spans="1:23" x14ac:dyDescent="0.25">
      <c r="A31" s="9">
        <v>163</v>
      </c>
      <c r="B31" s="3" t="s">
        <v>6</v>
      </c>
      <c r="C31" s="3" t="s">
        <v>426</v>
      </c>
      <c r="D31" s="3" t="s">
        <v>225</v>
      </c>
      <c r="E31" s="7" t="s">
        <v>266</v>
      </c>
      <c r="F31" s="146" t="s">
        <v>568</v>
      </c>
      <c r="G31" s="4" t="s">
        <v>575</v>
      </c>
      <c r="H31" s="7">
        <v>46032</v>
      </c>
      <c r="I31" s="7">
        <v>46046</v>
      </c>
      <c r="J31" s="52">
        <f t="shared" si="0"/>
        <v>15</v>
      </c>
      <c r="K31" s="7" t="s">
        <v>26</v>
      </c>
      <c r="L31" s="3">
        <v>272</v>
      </c>
      <c r="M31" s="3">
        <v>4</v>
      </c>
      <c r="N31" s="1"/>
      <c r="O31" s="47" t="s">
        <v>197</v>
      </c>
      <c r="P31" s="46">
        <f>SUMPRODUCT(--(MONTH(I2:I924)=4))</f>
        <v>9</v>
      </c>
      <c r="R31" s="122">
        <v>3.5</v>
      </c>
      <c r="S31" s="110" t="s">
        <v>339</v>
      </c>
      <c r="T31" s="110">
        <f>COUNTIF(M:M,3.5)</f>
        <v>12</v>
      </c>
    </row>
    <row r="32" spans="1:23" x14ac:dyDescent="0.25">
      <c r="A32" s="9">
        <v>162</v>
      </c>
      <c r="B32" s="3" t="s">
        <v>6</v>
      </c>
      <c r="C32" s="3" t="s">
        <v>423</v>
      </c>
      <c r="D32" s="3" t="s">
        <v>424</v>
      </c>
      <c r="E32" s="7" t="s">
        <v>123</v>
      </c>
      <c r="F32" s="146" t="s">
        <v>600</v>
      </c>
      <c r="G32" s="4" t="s">
        <v>586</v>
      </c>
      <c r="H32" s="7">
        <v>46020</v>
      </c>
      <c r="I32" s="7">
        <v>46045</v>
      </c>
      <c r="J32" s="52">
        <f t="shared" si="0"/>
        <v>26</v>
      </c>
      <c r="K32" s="7" t="s">
        <v>26</v>
      </c>
      <c r="L32" s="3">
        <v>160</v>
      </c>
      <c r="M32" s="3">
        <v>4.5</v>
      </c>
      <c r="N32" s="1"/>
      <c r="O32" s="45" t="s">
        <v>198</v>
      </c>
      <c r="P32" s="46">
        <f>SUMPRODUCT(--(MONTH(I2:I924)=5))</f>
        <v>22</v>
      </c>
      <c r="R32" s="122">
        <v>3</v>
      </c>
      <c r="S32" s="110" t="s">
        <v>340</v>
      </c>
      <c r="T32" s="110">
        <f>COUNTIF(M:M,3)</f>
        <v>25</v>
      </c>
    </row>
    <row r="33" spans="1:20" x14ac:dyDescent="0.25">
      <c r="A33" s="9">
        <v>161</v>
      </c>
      <c r="B33" s="3" t="s">
        <v>6</v>
      </c>
      <c r="C33" s="3" t="s">
        <v>418</v>
      </c>
      <c r="D33" s="3" t="s">
        <v>417</v>
      </c>
      <c r="E33" s="7" t="s">
        <v>362</v>
      </c>
      <c r="F33" s="146" t="s">
        <v>574</v>
      </c>
      <c r="G33" s="4" t="s">
        <v>575</v>
      </c>
      <c r="H33" s="7">
        <v>46013</v>
      </c>
      <c r="I33" s="7">
        <v>46019</v>
      </c>
      <c r="J33" s="52">
        <f t="shared" si="0"/>
        <v>7</v>
      </c>
      <c r="K33" s="7" t="s">
        <v>27</v>
      </c>
      <c r="L33" s="3">
        <v>156</v>
      </c>
      <c r="M33" s="3">
        <v>4</v>
      </c>
      <c r="N33" s="1"/>
      <c r="O33" s="47" t="s">
        <v>199</v>
      </c>
      <c r="P33" s="46">
        <f>SUMPRODUCT(--(MONTH(I2:I924)=6))</f>
        <v>31</v>
      </c>
      <c r="R33" s="122">
        <v>2.5</v>
      </c>
      <c r="S33" s="110" t="s">
        <v>341</v>
      </c>
      <c r="T33" s="110">
        <f>COUNTIF(M:M,2.5)</f>
        <v>4</v>
      </c>
    </row>
    <row r="34" spans="1:20" x14ac:dyDescent="0.25">
      <c r="A34" s="9">
        <v>160</v>
      </c>
      <c r="B34" s="3" t="s">
        <v>6</v>
      </c>
      <c r="C34" s="3" t="s">
        <v>415</v>
      </c>
      <c r="D34" s="3" t="s">
        <v>416</v>
      </c>
      <c r="E34" s="7" t="s">
        <v>34</v>
      </c>
      <c r="F34" s="146" t="s">
        <v>574</v>
      </c>
      <c r="G34" s="4" t="s">
        <v>579</v>
      </c>
      <c r="H34" s="7">
        <v>46010</v>
      </c>
      <c r="I34" s="7">
        <v>46013</v>
      </c>
      <c r="J34" s="52">
        <f t="shared" si="0"/>
        <v>4</v>
      </c>
      <c r="K34" s="7" t="s">
        <v>27</v>
      </c>
      <c r="L34" s="3">
        <v>200</v>
      </c>
      <c r="M34" s="3">
        <v>3</v>
      </c>
      <c r="N34" s="1"/>
      <c r="O34" s="45" t="s">
        <v>200</v>
      </c>
      <c r="P34" s="46">
        <f>SUMPRODUCT(--(MONTH(I2:I924)=7))</f>
        <v>23</v>
      </c>
      <c r="R34" s="122">
        <v>2</v>
      </c>
      <c r="S34" s="110" t="s">
        <v>342</v>
      </c>
      <c r="T34" s="110">
        <f>COUNTIF(M:M,2)</f>
        <v>5</v>
      </c>
    </row>
    <row r="35" spans="1:20" x14ac:dyDescent="0.25">
      <c r="A35" s="9">
        <v>159</v>
      </c>
      <c r="B35" s="3" t="s">
        <v>6</v>
      </c>
      <c r="C35" s="3" t="s">
        <v>413</v>
      </c>
      <c r="D35" s="3" t="s">
        <v>414</v>
      </c>
      <c r="E35" s="7" t="s">
        <v>266</v>
      </c>
      <c r="F35" s="146" t="s">
        <v>601</v>
      </c>
      <c r="G35" s="4" t="s">
        <v>579</v>
      </c>
      <c r="H35" s="7">
        <v>46007</v>
      </c>
      <c r="I35" s="7">
        <v>46009</v>
      </c>
      <c r="J35" s="52">
        <f t="shared" si="0"/>
        <v>3</v>
      </c>
      <c r="K35" s="7" t="s">
        <v>26</v>
      </c>
      <c r="L35" s="3">
        <v>160</v>
      </c>
      <c r="M35" s="3">
        <v>4</v>
      </c>
      <c r="N35" s="1"/>
      <c r="O35" s="47" t="s">
        <v>201</v>
      </c>
      <c r="P35" s="46">
        <f>SUMPRODUCT(--(MONTH(I2:I924)=8))</f>
        <v>14</v>
      </c>
      <c r="R35" s="122">
        <v>1.5</v>
      </c>
      <c r="S35" s="110" t="s">
        <v>343</v>
      </c>
      <c r="T35" s="110">
        <f>COUNTIF(M:M,1.5)</f>
        <v>0</v>
      </c>
    </row>
    <row r="36" spans="1:20" x14ac:dyDescent="0.25">
      <c r="A36" s="9">
        <v>158</v>
      </c>
      <c r="B36" s="3" t="s">
        <v>6</v>
      </c>
      <c r="C36" s="3" t="s">
        <v>412</v>
      </c>
      <c r="D36" s="3" t="s">
        <v>410</v>
      </c>
      <c r="E36" s="7" t="s">
        <v>411</v>
      </c>
      <c r="F36" s="146" t="s">
        <v>564</v>
      </c>
      <c r="G36" s="4" t="s">
        <v>577</v>
      </c>
      <c r="H36" s="7">
        <v>46001</v>
      </c>
      <c r="I36" s="7">
        <v>46006</v>
      </c>
      <c r="J36" s="52">
        <f t="shared" si="0"/>
        <v>6</v>
      </c>
      <c r="K36" s="7" t="s">
        <v>26</v>
      </c>
      <c r="L36" s="3">
        <v>232</v>
      </c>
      <c r="M36" s="3">
        <v>5</v>
      </c>
      <c r="N36" s="1"/>
      <c r="O36" s="45" t="s">
        <v>202</v>
      </c>
      <c r="P36" s="46">
        <f>SUMPRODUCT(--(MONTH(I2:I924)=9))</f>
        <v>14</v>
      </c>
      <c r="R36" s="122">
        <v>1</v>
      </c>
      <c r="S36" s="110" t="s">
        <v>344</v>
      </c>
      <c r="T36" s="110">
        <f>COUNTIF(M:M,1)</f>
        <v>0</v>
      </c>
    </row>
    <row r="37" spans="1:20" x14ac:dyDescent="0.25">
      <c r="A37" s="9">
        <v>157</v>
      </c>
      <c r="B37" s="3" t="s">
        <v>6</v>
      </c>
      <c r="C37" s="3" t="s">
        <v>408</v>
      </c>
      <c r="D37" s="3" t="s">
        <v>409</v>
      </c>
      <c r="E37" s="7" t="s">
        <v>97</v>
      </c>
      <c r="F37" s="146" t="s">
        <v>612</v>
      </c>
      <c r="G37" s="4" t="s">
        <v>587</v>
      </c>
      <c r="H37" s="7">
        <v>45997</v>
      </c>
      <c r="I37" s="7">
        <v>46001</v>
      </c>
      <c r="J37" s="52">
        <f t="shared" si="0"/>
        <v>5</v>
      </c>
      <c r="K37" s="7" t="s">
        <v>27</v>
      </c>
      <c r="L37" s="3">
        <v>149</v>
      </c>
      <c r="M37" s="3">
        <v>4.5</v>
      </c>
      <c r="N37" s="1"/>
      <c r="O37" s="47" t="s">
        <v>203</v>
      </c>
      <c r="P37" s="46">
        <f>SUMPRODUCT(--(MONTH(I2:I924)=10))</f>
        <v>11</v>
      </c>
      <c r="R37" s="110" t="s">
        <v>345</v>
      </c>
      <c r="S37" s="110" t="s">
        <v>2</v>
      </c>
      <c r="T37" s="110">
        <f>SUM(T28:T36)</f>
        <v>188</v>
      </c>
    </row>
    <row r="38" spans="1:20" x14ac:dyDescent="0.25">
      <c r="A38" s="9">
        <v>156</v>
      </c>
      <c r="B38" s="3" t="s">
        <v>6</v>
      </c>
      <c r="C38" s="3" t="s">
        <v>403</v>
      </c>
      <c r="D38" s="3" t="s">
        <v>404</v>
      </c>
      <c r="E38" s="7" t="s">
        <v>97</v>
      </c>
      <c r="F38" s="146" t="s">
        <v>624</v>
      </c>
      <c r="G38" s="4" t="s">
        <v>577</v>
      </c>
      <c r="H38" s="7">
        <v>45972</v>
      </c>
      <c r="I38" s="7">
        <v>46001</v>
      </c>
      <c r="J38" s="52">
        <f t="shared" si="0"/>
        <v>30</v>
      </c>
      <c r="K38" s="7" t="s">
        <v>27</v>
      </c>
      <c r="L38" s="3">
        <v>220</v>
      </c>
      <c r="M38" s="3">
        <v>4</v>
      </c>
      <c r="N38" s="1"/>
      <c r="O38" s="45" t="s">
        <v>204</v>
      </c>
      <c r="P38" s="46">
        <f>SUMPRODUCT(--(MONTH(I2:I924)=11))</f>
        <v>19</v>
      </c>
    </row>
    <row r="39" spans="1:20" x14ac:dyDescent="0.25">
      <c r="A39" s="9">
        <v>155</v>
      </c>
      <c r="B39" s="3" t="s">
        <v>6</v>
      </c>
      <c r="C39" s="3" t="s">
        <v>368</v>
      </c>
      <c r="D39" s="3" t="s">
        <v>407</v>
      </c>
      <c r="E39" s="7" t="s">
        <v>376</v>
      </c>
      <c r="F39" s="146" t="s">
        <v>566</v>
      </c>
      <c r="G39" s="4" t="s">
        <v>579</v>
      </c>
      <c r="H39" s="7">
        <v>45967</v>
      </c>
      <c r="I39" s="7">
        <v>45990</v>
      </c>
      <c r="J39" s="52">
        <f t="shared" si="0"/>
        <v>24</v>
      </c>
      <c r="K39" s="7" t="s">
        <v>26</v>
      </c>
      <c r="L39" s="3">
        <v>414</v>
      </c>
      <c r="M39" s="3">
        <v>3.5</v>
      </c>
      <c r="N39" s="1"/>
      <c r="O39" s="47" t="s">
        <v>205</v>
      </c>
      <c r="P39" s="49">
        <f>SUMPRODUCT(--(MONTH(I2:I924)=12))</f>
        <v>16</v>
      </c>
    </row>
    <row r="40" spans="1:20" x14ac:dyDescent="0.25">
      <c r="A40" s="9">
        <v>154</v>
      </c>
      <c r="B40" s="3" t="s">
        <v>6</v>
      </c>
      <c r="C40" s="3" t="s">
        <v>405</v>
      </c>
      <c r="D40" s="3" t="s">
        <v>406</v>
      </c>
      <c r="E40" s="7" t="s">
        <v>242</v>
      </c>
      <c r="F40" s="146" t="s">
        <v>567</v>
      </c>
      <c r="G40" s="4" t="s">
        <v>582</v>
      </c>
      <c r="H40" s="7">
        <v>45973</v>
      </c>
      <c r="I40" s="7">
        <v>45980</v>
      </c>
      <c r="J40" s="52">
        <f t="shared" si="0"/>
        <v>8</v>
      </c>
      <c r="K40" s="7" t="s">
        <v>26</v>
      </c>
      <c r="L40" s="3">
        <v>291</v>
      </c>
      <c r="M40" s="3">
        <v>5</v>
      </c>
      <c r="N40" s="1"/>
      <c r="O40" s="32" t="s">
        <v>2</v>
      </c>
      <c r="P40" s="48">
        <f>SUM(P28:P39)</f>
        <v>188</v>
      </c>
    </row>
    <row r="41" spans="1:20" x14ac:dyDescent="0.25">
      <c r="A41" s="9">
        <v>153</v>
      </c>
      <c r="B41" s="3" t="s">
        <v>6</v>
      </c>
      <c r="C41" s="3" t="s">
        <v>382</v>
      </c>
      <c r="D41" s="3" t="s">
        <v>383</v>
      </c>
      <c r="E41" s="7" t="s">
        <v>131</v>
      </c>
      <c r="F41" s="146" t="s">
        <v>620</v>
      </c>
      <c r="G41" s="4" t="s">
        <v>577</v>
      </c>
      <c r="H41" s="7">
        <v>45899</v>
      </c>
      <c r="I41" s="7">
        <v>45966</v>
      </c>
      <c r="J41" s="52">
        <f t="shared" si="0"/>
        <v>68</v>
      </c>
      <c r="K41" s="7" t="s">
        <v>27</v>
      </c>
      <c r="L41" s="3">
        <v>418</v>
      </c>
      <c r="M41" s="3">
        <v>4</v>
      </c>
      <c r="N41" s="1"/>
      <c r="O41" s="1"/>
      <c r="P41" s="1"/>
    </row>
    <row r="42" spans="1:20" x14ac:dyDescent="0.25">
      <c r="A42" s="9">
        <v>152</v>
      </c>
      <c r="B42" s="3" t="s">
        <v>6</v>
      </c>
      <c r="C42" s="3" t="s">
        <v>402</v>
      </c>
      <c r="D42" s="3" t="s">
        <v>225</v>
      </c>
      <c r="E42" s="7" t="s">
        <v>266</v>
      </c>
      <c r="F42" s="146" t="s">
        <v>568</v>
      </c>
      <c r="G42" s="4" t="s">
        <v>575</v>
      </c>
      <c r="H42" s="7">
        <v>45932</v>
      </c>
      <c r="I42" s="7">
        <v>45944</v>
      </c>
      <c r="J42" s="52">
        <f t="shared" si="0"/>
        <v>13</v>
      </c>
      <c r="K42" s="7" t="s">
        <v>26</v>
      </c>
      <c r="L42" s="3">
        <v>224</v>
      </c>
      <c r="M42" s="3">
        <v>4</v>
      </c>
      <c r="N42" s="1"/>
      <c r="O42" s="1"/>
      <c r="P42" s="1"/>
    </row>
    <row r="43" spans="1:20" x14ac:dyDescent="0.25">
      <c r="A43" s="9">
        <v>151</v>
      </c>
      <c r="B43" s="3" t="s">
        <v>6</v>
      </c>
      <c r="C43" s="3" t="s">
        <v>380</v>
      </c>
      <c r="D43" s="3" t="s">
        <v>400</v>
      </c>
      <c r="E43" s="7" t="s">
        <v>156</v>
      </c>
      <c r="F43" s="146" t="s">
        <v>625</v>
      </c>
      <c r="G43" s="4" t="s">
        <v>588</v>
      </c>
      <c r="H43" s="7">
        <v>45889</v>
      </c>
      <c r="I43" s="7">
        <v>45929</v>
      </c>
      <c r="J43" s="52">
        <f t="shared" si="0"/>
        <v>41</v>
      </c>
      <c r="K43" s="7" t="s">
        <v>26</v>
      </c>
      <c r="L43" s="3">
        <v>432</v>
      </c>
      <c r="M43" s="3">
        <v>2.5</v>
      </c>
      <c r="N43" s="1"/>
      <c r="O43" s="1"/>
      <c r="P43" s="1"/>
    </row>
    <row r="44" spans="1:20" x14ac:dyDescent="0.25">
      <c r="A44" s="9">
        <v>150</v>
      </c>
      <c r="B44" s="3" t="s">
        <v>6</v>
      </c>
      <c r="C44" s="3" t="s">
        <v>377</v>
      </c>
      <c r="D44" s="3" t="s">
        <v>378</v>
      </c>
      <c r="E44" s="7" t="s">
        <v>379</v>
      </c>
      <c r="F44" s="146" t="s">
        <v>603</v>
      </c>
      <c r="G44" s="4" t="s">
        <v>575</v>
      </c>
      <c r="H44" s="7">
        <v>45867</v>
      </c>
      <c r="I44" s="7">
        <v>45899</v>
      </c>
      <c r="J44" s="52">
        <f t="shared" si="0"/>
        <v>33</v>
      </c>
      <c r="K44" s="7" t="s">
        <v>27</v>
      </c>
      <c r="L44" s="3">
        <v>675</v>
      </c>
      <c r="M44" s="3">
        <v>4</v>
      </c>
      <c r="N44" s="1"/>
      <c r="O44" s="1"/>
      <c r="P44" s="1"/>
    </row>
    <row r="45" spans="1:20" x14ac:dyDescent="0.25">
      <c r="A45" s="9">
        <v>149</v>
      </c>
      <c r="B45" s="3" t="s">
        <v>6</v>
      </c>
      <c r="C45" s="3" t="s">
        <v>366</v>
      </c>
      <c r="D45" s="3" t="s">
        <v>367</v>
      </c>
      <c r="E45" s="7" t="s">
        <v>296</v>
      </c>
      <c r="F45" s="146" t="s">
        <v>574</v>
      </c>
      <c r="G45" s="4" t="s">
        <v>589</v>
      </c>
      <c r="H45" s="7">
        <v>45865</v>
      </c>
      <c r="I45" s="7">
        <v>45866</v>
      </c>
      <c r="J45" s="52">
        <f t="shared" si="0"/>
        <v>2</v>
      </c>
      <c r="K45" s="7" t="s">
        <v>27</v>
      </c>
      <c r="L45" s="3">
        <v>183</v>
      </c>
      <c r="M45" s="3">
        <v>4</v>
      </c>
      <c r="N45" s="1"/>
      <c r="O45" s="1"/>
      <c r="P45" s="1"/>
    </row>
    <row r="46" spans="1:20" x14ac:dyDescent="0.25">
      <c r="A46" s="9">
        <v>148</v>
      </c>
      <c r="B46" s="3" t="s">
        <v>6</v>
      </c>
      <c r="C46" s="3" t="s">
        <v>363</v>
      </c>
      <c r="D46" s="3" t="s">
        <v>237</v>
      </c>
      <c r="E46" s="7" t="s">
        <v>362</v>
      </c>
      <c r="F46" s="146" t="s">
        <v>565</v>
      </c>
      <c r="G46" s="4" t="s">
        <v>578</v>
      </c>
      <c r="H46" s="7">
        <v>45857</v>
      </c>
      <c r="I46" s="7">
        <v>45864</v>
      </c>
      <c r="J46" s="52">
        <f t="shared" si="0"/>
        <v>8</v>
      </c>
      <c r="K46" s="7" t="s">
        <v>26</v>
      </c>
      <c r="L46" s="3">
        <v>184</v>
      </c>
      <c r="M46" s="3">
        <v>4.5</v>
      </c>
      <c r="N46" s="1"/>
      <c r="O46" s="1"/>
      <c r="P46" s="1"/>
    </row>
    <row r="47" spans="1:20" x14ac:dyDescent="0.25">
      <c r="A47" s="9">
        <v>147</v>
      </c>
      <c r="B47" s="3" t="s">
        <v>6</v>
      </c>
      <c r="C47" s="3" t="s">
        <v>364</v>
      </c>
      <c r="D47" s="3" t="s">
        <v>365</v>
      </c>
      <c r="E47" s="7" t="s">
        <v>160</v>
      </c>
      <c r="F47" s="146" t="s">
        <v>626</v>
      </c>
      <c r="G47" s="4" t="s">
        <v>579</v>
      </c>
      <c r="H47" s="7">
        <v>45859</v>
      </c>
      <c r="I47" s="7">
        <v>45863</v>
      </c>
      <c r="J47" s="52">
        <f t="shared" si="0"/>
        <v>5</v>
      </c>
      <c r="K47" s="7" t="s">
        <v>27</v>
      </c>
      <c r="L47" s="3">
        <v>302</v>
      </c>
      <c r="M47" s="3">
        <v>4.5</v>
      </c>
      <c r="N47" s="1"/>
      <c r="O47" s="1"/>
      <c r="P47" s="1"/>
    </row>
    <row r="48" spans="1:20" x14ac:dyDescent="0.25">
      <c r="A48" s="9">
        <v>146</v>
      </c>
      <c r="B48" s="3" t="s">
        <v>6</v>
      </c>
      <c r="C48" s="3" t="s">
        <v>359</v>
      </c>
      <c r="D48" s="3" t="s">
        <v>360</v>
      </c>
      <c r="E48" s="7" t="s">
        <v>361</v>
      </c>
      <c r="F48" s="146" t="s">
        <v>566</v>
      </c>
      <c r="G48" s="4" t="s">
        <v>577</v>
      </c>
      <c r="H48" s="7">
        <v>45851</v>
      </c>
      <c r="I48" s="7">
        <v>45858</v>
      </c>
      <c r="J48" s="52">
        <f t="shared" si="0"/>
        <v>8</v>
      </c>
      <c r="K48" s="7" t="s">
        <v>27</v>
      </c>
      <c r="L48" s="3">
        <v>160</v>
      </c>
      <c r="M48" s="3">
        <v>4</v>
      </c>
      <c r="N48" s="1"/>
      <c r="O48" s="1"/>
      <c r="P48" s="1"/>
    </row>
    <row r="49" spans="1:16" x14ac:dyDescent="0.25">
      <c r="A49" s="9">
        <v>145</v>
      </c>
      <c r="B49" s="3" t="s">
        <v>6</v>
      </c>
      <c r="C49" s="3" t="s">
        <v>349</v>
      </c>
      <c r="D49" s="3" t="s">
        <v>350</v>
      </c>
      <c r="E49" s="7" t="s">
        <v>259</v>
      </c>
      <c r="F49" s="146" t="s">
        <v>604</v>
      </c>
      <c r="G49" s="4" t="s">
        <v>575</v>
      </c>
      <c r="H49" s="7">
        <v>45823</v>
      </c>
      <c r="I49" s="7">
        <v>45856</v>
      </c>
      <c r="J49" s="52">
        <f t="shared" si="0"/>
        <v>34</v>
      </c>
      <c r="K49" s="7" t="s">
        <v>26</v>
      </c>
      <c r="L49" s="3">
        <v>299</v>
      </c>
      <c r="M49" s="3">
        <v>4.5</v>
      </c>
      <c r="N49" s="1"/>
      <c r="O49" s="1"/>
      <c r="P49" s="1"/>
    </row>
    <row r="50" spans="1:16" x14ac:dyDescent="0.25">
      <c r="A50" s="9">
        <v>144</v>
      </c>
      <c r="B50" s="3" t="s">
        <v>6</v>
      </c>
      <c r="C50" s="3" t="s">
        <v>355</v>
      </c>
      <c r="D50" s="3" t="s">
        <v>356</v>
      </c>
      <c r="E50" s="7" t="s">
        <v>247</v>
      </c>
      <c r="F50" s="146" t="s">
        <v>605</v>
      </c>
      <c r="G50" s="4" t="s">
        <v>579</v>
      </c>
      <c r="H50" s="7">
        <v>45840</v>
      </c>
      <c r="I50" s="7">
        <v>45850</v>
      </c>
      <c r="J50" s="52">
        <f t="shared" si="0"/>
        <v>11</v>
      </c>
      <c r="K50" s="7" t="s">
        <v>27</v>
      </c>
      <c r="L50" s="3">
        <v>324</v>
      </c>
      <c r="M50" s="3">
        <v>2</v>
      </c>
      <c r="N50" s="1"/>
      <c r="O50" s="1"/>
      <c r="P50" s="1"/>
    </row>
    <row r="51" spans="1:16" x14ac:dyDescent="0.25">
      <c r="A51" s="9">
        <v>143</v>
      </c>
      <c r="B51" s="3" t="s">
        <v>6</v>
      </c>
      <c r="C51" s="3" t="s">
        <v>353</v>
      </c>
      <c r="D51" s="3" t="s">
        <v>354</v>
      </c>
      <c r="E51" s="7" t="s">
        <v>102</v>
      </c>
      <c r="F51" s="146" t="s">
        <v>569</v>
      </c>
      <c r="G51" s="4" t="s">
        <v>577</v>
      </c>
      <c r="H51" s="7">
        <v>45833</v>
      </c>
      <c r="I51" s="7">
        <v>45839</v>
      </c>
      <c r="J51" s="52">
        <f t="shared" si="0"/>
        <v>7</v>
      </c>
      <c r="K51" s="7" t="s">
        <v>27</v>
      </c>
      <c r="L51" s="3">
        <v>158</v>
      </c>
      <c r="M51" s="3">
        <v>2.5</v>
      </c>
      <c r="N51" s="1"/>
      <c r="O51" s="1"/>
      <c r="P51" s="1"/>
    </row>
    <row r="52" spans="1:16" x14ac:dyDescent="0.25">
      <c r="A52" s="9">
        <v>142</v>
      </c>
      <c r="B52" s="3" t="s">
        <v>6</v>
      </c>
      <c r="C52" s="3" t="s">
        <v>327</v>
      </c>
      <c r="D52" s="3" t="s">
        <v>306</v>
      </c>
      <c r="E52" s="7" t="s">
        <v>230</v>
      </c>
      <c r="F52" s="146" t="s">
        <v>606</v>
      </c>
      <c r="G52" s="4" t="s">
        <v>582</v>
      </c>
      <c r="H52" s="7">
        <v>45784</v>
      </c>
      <c r="I52" s="7">
        <v>45836</v>
      </c>
      <c r="J52" s="52">
        <f t="shared" si="0"/>
        <v>53</v>
      </c>
      <c r="K52" s="7" t="s">
        <v>26</v>
      </c>
      <c r="L52" s="3">
        <v>792</v>
      </c>
      <c r="M52" s="3">
        <v>5</v>
      </c>
      <c r="N52" s="1"/>
      <c r="O52" s="1"/>
      <c r="P52" s="1"/>
    </row>
    <row r="53" spans="1:16" x14ac:dyDescent="0.25">
      <c r="A53" s="9">
        <v>141</v>
      </c>
      <c r="B53" s="3" t="s">
        <v>6</v>
      </c>
      <c r="C53" s="3" t="s">
        <v>325</v>
      </c>
      <c r="D53" s="3" t="s">
        <v>324</v>
      </c>
      <c r="E53" s="7" t="s">
        <v>120</v>
      </c>
      <c r="F53" s="146" t="s">
        <v>571</v>
      </c>
      <c r="G53" s="4" t="s">
        <v>579</v>
      </c>
      <c r="H53" s="7">
        <v>45761</v>
      </c>
      <c r="I53" s="7">
        <v>45832</v>
      </c>
      <c r="J53" s="52">
        <f t="shared" ref="J53:J58" si="2">IF(I53="", "", I53 - H53 + 1)</f>
        <v>72</v>
      </c>
      <c r="K53" s="7" t="s">
        <v>27</v>
      </c>
      <c r="L53" s="3">
        <v>746</v>
      </c>
      <c r="M53" s="3">
        <v>2</v>
      </c>
      <c r="N53" s="1"/>
      <c r="O53" s="1"/>
      <c r="P53" s="1"/>
    </row>
    <row r="54" spans="1:16" x14ac:dyDescent="0.25">
      <c r="A54" s="9">
        <v>140</v>
      </c>
      <c r="B54" s="3" t="s">
        <v>6</v>
      </c>
      <c r="C54" s="3" t="s">
        <v>332</v>
      </c>
      <c r="D54" s="3" t="s">
        <v>333</v>
      </c>
      <c r="E54" s="7" t="s">
        <v>238</v>
      </c>
      <c r="F54" s="146" t="s">
        <v>620</v>
      </c>
      <c r="G54" s="4" t="s">
        <v>577</v>
      </c>
      <c r="H54" s="7">
        <v>45810</v>
      </c>
      <c r="I54" s="7">
        <v>45822</v>
      </c>
      <c r="J54" s="52">
        <f t="shared" si="2"/>
        <v>13</v>
      </c>
      <c r="K54" s="7" t="s">
        <v>26</v>
      </c>
      <c r="L54" s="3">
        <v>280</v>
      </c>
      <c r="M54" s="3">
        <v>5</v>
      </c>
      <c r="N54" s="1"/>
      <c r="O54" s="1"/>
      <c r="P54" s="1"/>
    </row>
    <row r="55" spans="1:16" x14ac:dyDescent="0.25">
      <c r="A55" s="9">
        <v>139</v>
      </c>
      <c r="B55" s="3" t="s">
        <v>6</v>
      </c>
      <c r="C55" s="3" t="s">
        <v>329</v>
      </c>
      <c r="D55" s="3" t="s">
        <v>330</v>
      </c>
      <c r="E55" s="7" t="s">
        <v>97</v>
      </c>
      <c r="F55" s="146" t="s">
        <v>607</v>
      </c>
      <c r="G55" s="4" t="s">
        <v>575</v>
      </c>
      <c r="H55" s="7">
        <v>45804</v>
      </c>
      <c r="I55" s="7">
        <v>45809</v>
      </c>
      <c r="J55" s="52">
        <f t="shared" si="2"/>
        <v>6</v>
      </c>
      <c r="K55" s="7" t="s">
        <v>26</v>
      </c>
      <c r="L55" s="3">
        <v>288</v>
      </c>
      <c r="M55" s="3">
        <v>4</v>
      </c>
      <c r="N55" s="1"/>
      <c r="O55" s="1"/>
      <c r="P55" s="1"/>
    </row>
    <row r="56" spans="1:16" x14ac:dyDescent="0.25">
      <c r="A56" s="9">
        <v>138</v>
      </c>
      <c r="B56" s="3" t="s">
        <v>6</v>
      </c>
      <c r="C56" s="3" t="s">
        <v>328</v>
      </c>
      <c r="D56" s="3" t="s">
        <v>190</v>
      </c>
      <c r="E56" s="7" t="s">
        <v>233</v>
      </c>
      <c r="F56" s="146" t="s">
        <v>627</v>
      </c>
      <c r="G56" s="4" t="s">
        <v>577</v>
      </c>
      <c r="H56" s="7">
        <v>45789</v>
      </c>
      <c r="I56" s="7">
        <v>45803</v>
      </c>
      <c r="J56" s="52">
        <f t="shared" si="2"/>
        <v>15</v>
      </c>
      <c r="K56" s="7" t="s">
        <v>26</v>
      </c>
      <c r="L56" s="3">
        <v>480</v>
      </c>
      <c r="M56" s="3">
        <v>4.5</v>
      </c>
      <c r="N56" s="1"/>
      <c r="O56" s="1"/>
      <c r="P56" s="1"/>
    </row>
    <row r="57" spans="1:16" x14ac:dyDescent="0.25">
      <c r="A57" s="9">
        <v>137</v>
      </c>
      <c r="B57" s="3" t="s">
        <v>6</v>
      </c>
      <c r="C57" s="3" t="s">
        <v>326</v>
      </c>
      <c r="D57" s="3" t="s">
        <v>225</v>
      </c>
      <c r="E57" s="7" t="s">
        <v>226</v>
      </c>
      <c r="F57" s="146" t="s">
        <v>568</v>
      </c>
      <c r="G57" s="4" t="s">
        <v>575</v>
      </c>
      <c r="H57" s="7">
        <v>45778</v>
      </c>
      <c r="I57" s="7">
        <v>45783</v>
      </c>
      <c r="J57" s="52">
        <f t="shared" si="2"/>
        <v>6</v>
      </c>
      <c r="K57" s="7" t="s">
        <v>26</v>
      </c>
      <c r="L57" s="3">
        <v>312</v>
      </c>
      <c r="M57" s="3">
        <v>4.5</v>
      </c>
      <c r="N57" s="1"/>
      <c r="O57" s="1"/>
      <c r="P57" s="1"/>
    </row>
    <row r="58" spans="1:16" x14ac:dyDescent="0.25">
      <c r="A58" s="9">
        <v>136</v>
      </c>
      <c r="B58" s="3" t="s">
        <v>6</v>
      </c>
      <c r="C58" s="3" t="s">
        <v>322</v>
      </c>
      <c r="D58" s="3" t="s">
        <v>323</v>
      </c>
      <c r="E58" s="7" t="s">
        <v>259</v>
      </c>
      <c r="F58" s="146" t="s">
        <v>608</v>
      </c>
      <c r="G58" s="4" t="s">
        <v>579</v>
      </c>
      <c r="H58" s="7">
        <v>45748</v>
      </c>
      <c r="I58" s="7">
        <v>45777</v>
      </c>
      <c r="J58" s="52">
        <f t="shared" si="2"/>
        <v>30</v>
      </c>
      <c r="K58" s="7" t="s">
        <v>26</v>
      </c>
      <c r="L58" s="3">
        <v>224</v>
      </c>
      <c r="M58" s="3">
        <v>2</v>
      </c>
      <c r="N58" s="1"/>
      <c r="O58" s="1"/>
      <c r="P58" s="1"/>
    </row>
    <row r="59" spans="1:16" x14ac:dyDescent="0.25">
      <c r="A59" s="9">
        <v>135</v>
      </c>
      <c r="B59" s="3" t="s">
        <v>6</v>
      </c>
      <c r="C59" s="3" t="s">
        <v>320</v>
      </c>
      <c r="D59" s="3" t="s">
        <v>321</v>
      </c>
      <c r="E59" s="7" t="s">
        <v>97</v>
      </c>
      <c r="F59" s="146" t="s">
        <v>570</v>
      </c>
      <c r="G59" s="4" t="s">
        <v>579</v>
      </c>
      <c r="H59" s="7">
        <v>45759</v>
      </c>
      <c r="I59" s="7">
        <v>45773</v>
      </c>
      <c r="J59" s="52">
        <f t="shared" ref="J59:J60" si="3">IF(I59="", "", I59 - H59 + 1)</f>
        <v>15</v>
      </c>
      <c r="K59" s="7" t="s">
        <v>26</v>
      </c>
      <c r="L59" s="3">
        <v>528</v>
      </c>
      <c r="M59" s="3">
        <v>5</v>
      </c>
      <c r="N59" s="1"/>
      <c r="O59" s="1"/>
      <c r="P59" s="1"/>
    </row>
    <row r="60" spans="1:16" x14ac:dyDescent="0.25">
      <c r="A60" s="9">
        <v>134</v>
      </c>
      <c r="B60" s="3" t="s">
        <v>6</v>
      </c>
      <c r="C60" s="3" t="s">
        <v>319</v>
      </c>
      <c r="D60" s="3" t="s">
        <v>317</v>
      </c>
      <c r="E60" s="7" t="s">
        <v>318</v>
      </c>
      <c r="F60" s="146" t="s">
        <v>601</v>
      </c>
      <c r="G60" s="4" t="s">
        <v>579</v>
      </c>
      <c r="H60" s="7">
        <v>45734</v>
      </c>
      <c r="I60" s="7">
        <v>45759</v>
      </c>
      <c r="J60" s="52">
        <f t="shared" si="3"/>
        <v>26</v>
      </c>
      <c r="K60" s="7" t="s">
        <v>27</v>
      </c>
      <c r="L60" s="3">
        <v>299</v>
      </c>
      <c r="M60" s="3">
        <v>3</v>
      </c>
      <c r="N60" s="1"/>
      <c r="O60" s="1"/>
      <c r="P60" s="1"/>
    </row>
    <row r="61" spans="1:16" x14ac:dyDescent="0.25">
      <c r="A61" s="9">
        <v>133</v>
      </c>
      <c r="B61" s="3" t="s">
        <v>6</v>
      </c>
      <c r="C61" s="3" t="s">
        <v>305</v>
      </c>
      <c r="D61" s="3" t="s">
        <v>306</v>
      </c>
      <c r="E61" s="7" t="s">
        <v>242</v>
      </c>
      <c r="F61" s="146" t="s">
        <v>570</v>
      </c>
      <c r="G61" s="4" t="s">
        <v>582</v>
      </c>
      <c r="H61" s="7">
        <v>45661</v>
      </c>
      <c r="I61" s="7">
        <v>45747</v>
      </c>
      <c r="J61" s="52">
        <f t="shared" ref="J61" si="4">IF(I61="", "", I61 - H61 + 1)</f>
        <v>87</v>
      </c>
      <c r="K61" s="7" t="s">
        <v>26</v>
      </c>
      <c r="L61" s="3">
        <v>1304</v>
      </c>
      <c r="M61" s="3">
        <v>5</v>
      </c>
      <c r="N61" s="1"/>
      <c r="O61" s="1"/>
      <c r="P61" s="1"/>
    </row>
    <row r="62" spans="1:16" x14ac:dyDescent="0.25">
      <c r="A62" s="9">
        <v>132</v>
      </c>
      <c r="B62" s="3" t="s">
        <v>6</v>
      </c>
      <c r="C62" s="3" t="s">
        <v>316</v>
      </c>
      <c r="D62" s="3" t="s">
        <v>524</v>
      </c>
      <c r="E62" s="7" t="s">
        <v>97</v>
      </c>
      <c r="F62" s="146" t="s">
        <v>608</v>
      </c>
      <c r="G62" s="4" t="s">
        <v>579</v>
      </c>
      <c r="H62" s="7">
        <v>45728</v>
      </c>
      <c r="I62" s="7">
        <v>45739</v>
      </c>
      <c r="J62" s="52">
        <f t="shared" ref="J62:J69" si="5">IF(I62="", "", I62 - H62 + 1)</f>
        <v>12</v>
      </c>
      <c r="K62" s="7" t="s">
        <v>27</v>
      </c>
      <c r="L62" s="3">
        <v>346</v>
      </c>
      <c r="M62" s="3">
        <v>2.5</v>
      </c>
      <c r="N62" s="1"/>
      <c r="O62" s="1"/>
      <c r="P62" s="1"/>
    </row>
    <row r="63" spans="1:16" x14ac:dyDescent="0.25">
      <c r="A63" s="9">
        <v>131</v>
      </c>
      <c r="B63" s="3" t="s">
        <v>6</v>
      </c>
      <c r="C63" s="3" t="s">
        <v>314</v>
      </c>
      <c r="D63" s="3" t="s">
        <v>315</v>
      </c>
      <c r="E63" s="7" t="s">
        <v>263</v>
      </c>
      <c r="F63" s="146" t="s">
        <v>570</v>
      </c>
      <c r="G63" s="4" t="s">
        <v>577</v>
      </c>
      <c r="H63" s="7">
        <v>45718</v>
      </c>
      <c r="I63" s="7">
        <v>45724</v>
      </c>
      <c r="J63" s="52">
        <f t="shared" si="5"/>
        <v>7</v>
      </c>
      <c r="K63" s="7" t="s">
        <v>27</v>
      </c>
      <c r="L63" s="3">
        <v>151</v>
      </c>
      <c r="M63" s="3">
        <v>4</v>
      </c>
      <c r="N63" s="1"/>
      <c r="O63" s="1"/>
      <c r="P63" s="1"/>
    </row>
    <row r="64" spans="1:16" x14ac:dyDescent="0.25">
      <c r="A64" s="9">
        <v>130</v>
      </c>
      <c r="B64" s="3" t="s">
        <v>6</v>
      </c>
      <c r="C64" s="3" t="s">
        <v>311</v>
      </c>
      <c r="D64" s="3" t="s">
        <v>312</v>
      </c>
      <c r="E64" s="7" t="s">
        <v>313</v>
      </c>
      <c r="F64" s="146" t="s">
        <v>566</v>
      </c>
      <c r="G64" s="4" t="s">
        <v>577</v>
      </c>
      <c r="H64" s="7">
        <v>45714</v>
      </c>
      <c r="I64" s="7">
        <v>45717</v>
      </c>
      <c r="J64" s="52">
        <f t="shared" si="5"/>
        <v>4</v>
      </c>
      <c r="K64" s="7" t="s">
        <v>27</v>
      </c>
      <c r="L64" s="3">
        <v>133</v>
      </c>
      <c r="M64" s="3">
        <v>4</v>
      </c>
      <c r="N64" s="1"/>
      <c r="O64" s="1"/>
      <c r="P64" s="1"/>
    </row>
    <row r="65" spans="1:16" x14ac:dyDescent="0.25">
      <c r="A65" s="9">
        <v>129</v>
      </c>
      <c r="B65" s="3" t="s">
        <v>6</v>
      </c>
      <c r="C65" s="3" t="s">
        <v>307</v>
      </c>
      <c r="D65" s="3" t="s">
        <v>308</v>
      </c>
      <c r="E65" s="7" t="s">
        <v>131</v>
      </c>
      <c r="F65" s="146" t="s">
        <v>609</v>
      </c>
      <c r="G65" s="4" t="s">
        <v>579</v>
      </c>
      <c r="H65" s="7">
        <v>45673</v>
      </c>
      <c r="I65" s="7">
        <v>45713</v>
      </c>
      <c r="J65" s="52">
        <f t="shared" si="5"/>
        <v>41</v>
      </c>
      <c r="K65" s="7" t="s">
        <v>27</v>
      </c>
      <c r="L65" s="3">
        <v>489</v>
      </c>
      <c r="M65" s="3">
        <v>4</v>
      </c>
      <c r="N65" s="1"/>
      <c r="O65" s="1"/>
      <c r="P65" s="1"/>
    </row>
    <row r="66" spans="1:16" x14ac:dyDescent="0.25">
      <c r="A66" s="9">
        <v>128</v>
      </c>
      <c r="B66" s="3" t="s">
        <v>6</v>
      </c>
      <c r="C66" s="3" t="s">
        <v>309</v>
      </c>
      <c r="D66" s="3" t="s">
        <v>310</v>
      </c>
      <c r="E66" s="7" t="s">
        <v>97</v>
      </c>
      <c r="F66" s="146" t="s">
        <v>621</v>
      </c>
      <c r="G66" s="4" t="s">
        <v>590</v>
      </c>
      <c r="H66" s="7">
        <v>45688</v>
      </c>
      <c r="I66" s="7">
        <v>45712</v>
      </c>
      <c r="J66" s="52">
        <f t="shared" si="5"/>
        <v>25</v>
      </c>
      <c r="K66" s="7" t="s">
        <v>26</v>
      </c>
      <c r="L66" s="3">
        <v>224</v>
      </c>
      <c r="M66" s="3">
        <v>4</v>
      </c>
      <c r="N66" s="1"/>
      <c r="O66" s="1"/>
      <c r="P66" s="1"/>
    </row>
    <row r="67" spans="1:16" x14ac:dyDescent="0.25">
      <c r="A67" s="9">
        <v>127</v>
      </c>
      <c r="B67" s="3" t="s">
        <v>6</v>
      </c>
      <c r="C67" s="3" t="s">
        <v>303</v>
      </c>
      <c r="D67" s="3" t="s">
        <v>304</v>
      </c>
      <c r="E67" s="7" t="s">
        <v>247</v>
      </c>
      <c r="F67" s="146" t="s">
        <v>627</v>
      </c>
      <c r="G67" s="4" t="s">
        <v>579</v>
      </c>
      <c r="H67" s="7">
        <v>45658</v>
      </c>
      <c r="I67" s="7">
        <v>45687</v>
      </c>
      <c r="J67" s="52">
        <f t="shared" si="5"/>
        <v>30</v>
      </c>
      <c r="K67" s="7" t="s">
        <v>26</v>
      </c>
      <c r="L67" s="3">
        <v>392</v>
      </c>
      <c r="M67" s="3">
        <v>4.5</v>
      </c>
      <c r="N67" s="1"/>
      <c r="O67" s="1"/>
      <c r="P67" s="1"/>
    </row>
    <row r="68" spans="1:16" x14ac:dyDescent="0.25">
      <c r="A68" s="9">
        <v>126</v>
      </c>
      <c r="B68" s="3" t="s">
        <v>6</v>
      </c>
      <c r="C68" s="3" t="s">
        <v>301</v>
      </c>
      <c r="D68" s="3" t="s">
        <v>302</v>
      </c>
      <c r="E68" s="7" t="s">
        <v>266</v>
      </c>
      <c r="F68" s="146" t="s">
        <v>570</v>
      </c>
      <c r="G68" s="4" t="s">
        <v>591</v>
      </c>
      <c r="H68" s="7">
        <v>45658</v>
      </c>
      <c r="I68" s="7">
        <v>45672</v>
      </c>
      <c r="J68" s="52">
        <f t="shared" si="5"/>
        <v>15</v>
      </c>
      <c r="K68" s="7" t="s">
        <v>27</v>
      </c>
      <c r="L68" s="3">
        <v>240</v>
      </c>
      <c r="M68" s="3">
        <v>4</v>
      </c>
      <c r="N68" s="1"/>
      <c r="O68" s="1"/>
      <c r="P68" s="1"/>
    </row>
    <row r="69" spans="1:16" x14ac:dyDescent="0.25">
      <c r="A69" s="9">
        <v>125</v>
      </c>
      <c r="B69" s="3" t="s">
        <v>6</v>
      </c>
      <c r="C69" s="3" t="s">
        <v>300</v>
      </c>
      <c r="D69" s="3" t="s">
        <v>261</v>
      </c>
      <c r="E69" s="7" t="s">
        <v>123</v>
      </c>
      <c r="F69" s="146" t="s">
        <v>600</v>
      </c>
      <c r="G69" s="4" t="s">
        <v>586</v>
      </c>
      <c r="H69" s="7">
        <v>45593</v>
      </c>
      <c r="I69" s="7">
        <v>45655</v>
      </c>
      <c r="J69" s="52">
        <f t="shared" si="5"/>
        <v>63</v>
      </c>
      <c r="K69" s="7" t="s">
        <v>26</v>
      </c>
      <c r="L69" s="3">
        <v>96</v>
      </c>
      <c r="M69" s="3">
        <v>5</v>
      </c>
      <c r="N69" s="1"/>
      <c r="O69" s="1"/>
      <c r="P69" s="1"/>
    </row>
    <row r="70" spans="1:16" x14ac:dyDescent="0.25">
      <c r="A70" s="9">
        <v>124</v>
      </c>
      <c r="B70" s="3" t="s">
        <v>6</v>
      </c>
      <c r="C70" s="3" t="s">
        <v>294</v>
      </c>
      <c r="D70" s="3" t="s">
        <v>295</v>
      </c>
      <c r="E70" s="7" t="s">
        <v>296</v>
      </c>
      <c r="F70" s="146" t="s">
        <v>565</v>
      </c>
      <c r="G70" s="4" t="s">
        <v>579</v>
      </c>
      <c r="H70" s="7">
        <v>45650</v>
      </c>
      <c r="I70" s="7">
        <v>45655</v>
      </c>
      <c r="J70" s="52">
        <f t="shared" ref="J70" si="6">IF(I70="", "", I70 - H70 + 1)</f>
        <v>6</v>
      </c>
      <c r="K70" s="7" t="s">
        <v>27</v>
      </c>
      <c r="L70" s="3">
        <v>167</v>
      </c>
      <c r="M70" s="3">
        <v>4</v>
      </c>
      <c r="N70" s="1"/>
      <c r="O70" s="1"/>
      <c r="P70" s="1"/>
    </row>
    <row r="71" spans="1:16" x14ac:dyDescent="0.25">
      <c r="A71" s="9">
        <v>123</v>
      </c>
      <c r="B71" s="3" t="s">
        <v>6</v>
      </c>
      <c r="C71" s="3" t="s">
        <v>293</v>
      </c>
      <c r="D71" s="3" t="s">
        <v>225</v>
      </c>
      <c r="E71" s="7" t="s">
        <v>266</v>
      </c>
      <c r="F71" s="146" t="s">
        <v>568</v>
      </c>
      <c r="G71" s="4" t="s">
        <v>575</v>
      </c>
      <c r="H71" s="7">
        <v>45648</v>
      </c>
      <c r="I71" s="7">
        <v>45653</v>
      </c>
      <c r="J71" s="52">
        <f t="shared" ref="J71:J75" si="7">IF(I71="", "", I71 - H71 + 1)</f>
        <v>6</v>
      </c>
      <c r="K71" s="7" t="s">
        <v>26</v>
      </c>
      <c r="L71" s="3">
        <v>224</v>
      </c>
      <c r="M71" s="3">
        <v>4.5</v>
      </c>
      <c r="N71" s="1"/>
      <c r="O71" s="1"/>
      <c r="P71" s="1"/>
    </row>
    <row r="72" spans="1:16" x14ac:dyDescent="0.25">
      <c r="A72" s="9">
        <v>122</v>
      </c>
      <c r="B72" s="3" t="s">
        <v>6</v>
      </c>
      <c r="C72" s="3" t="s">
        <v>290</v>
      </c>
      <c r="D72" s="3" t="s">
        <v>291</v>
      </c>
      <c r="E72" s="7" t="s">
        <v>292</v>
      </c>
      <c r="F72" s="146" t="s">
        <v>620</v>
      </c>
      <c r="G72" s="4" t="s">
        <v>577</v>
      </c>
      <c r="H72" s="7">
        <v>45645</v>
      </c>
      <c r="I72" s="7">
        <v>45647</v>
      </c>
      <c r="J72" s="52">
        <f t="shared" si="7"/>
        <v>3</v>
      </c>
      <c r="K72" s="7" t="s">
        <v>26</v>
      </c>
      <c r="L72" s="3">
        <v>88</v>
      </c>
      <c r="M72" s="3">
        <v>3</v>
      </c>
      <c r="N72" s="1"/>
      <c r="O72" s="1"/>
      <c r="P72" s="1"/>
    </row>
    <row r="73" spans="1:16" x14ac:dyDescent="0.25">
      <c r="A73" s="9">
        <v>121</v>
      </c>
      <c r="B73" s="3" t="s">
        <v>6</v>
      </c>
      <c r="C73" s="3" t="s">
        <v>287</v>
      </c>
      <c r="D73" s="3" t="s">
        <v>288</v>
      </c>
      <c r="E73" s="7" t="s">
        <v>289</v>
      </c>
      <c r="F73" s="146" t="s">
        <v>566</v>
      </c>
      <c r="G73" s="4" t="s">
        <v>579</v>
      </c>
      <c r="H73" s="7">
        <v>45641</v>
      </c>
      <c r="I73" s="7">
        <v>45645</v>
      </c>
      <c r="J73" s="52">
        <f t="shared" si="7"/>
        <v>5</v>
      </c>
      <c r="K73" s="7" t="s">
        <v>27</v>
      </c>
      <c r="L73" s="3">
        <v>160</v>
      </c>
      <c r="M73" s="3">
        <v>4</v>
      </c>
      <c r="N73" s="1"/>
      <c r="O73" s="1"/>
      <c r="P73" s="1"/>
    </row>
    <row r="74" spans="1:16" x14ac:dyDescent="0.25">
      <c r="A74" s="9">
        <v>120</v>
      </c>
      <c r="B74" s="3" t="s">
        <v>6</v>
      </c>
      <c r="C74" s="3" t="s">
        <v>280</v>
      </c>
      <c r="D74" s="3" t="s">
        <v>281</v>
      </c>
      <c r="E74" s="7" t="s">
        <v>226</v>
      </c>
      <c r="F74" s="146" t="s">
        <v>570</v>
      </c>
      <c r="G74" s="4" t="s">
        <v>579</v>
      </c>
      <c r="H74" s="7">
        <v>45627</v>
      </c>
      <c r="I74" s="7">
        <v>45641</v>
      </c>
      <c r="J74" s="52">
        <f t="shared" si="7"/>
        <v>15</v>
      </c>
      <c r="K74" s="7" t="s">
        <v>26</v>
      </c>
      <c r="L74" s="3">
        <v>352</v>
      </c>
      <c r="M74" s="3">
        <v>5</v>
      </c>
      <c r="N74" s="1"/>
      <c r="O74" s="1"/>
      <c r="P74" s="1"/>
    </row>
    <row r="75" spans="1:16" x14ac:dyDescent="0.25">
      <c r="A75" s="9">
        <v>119</v>
      </c>
      <c r="B75" s="3" t="s">
        <v>6</v>
      </c>
      <c r="C75" s="3" t="s">
        <v>285</v>
      </c>
      <c r="D75" s="3" t="s">
        <v>286</v>
      </c>
      <c r="E75" s="7" t="s">
        <v>160</v>
      </c>
      <c r="F75" s="146" t="s">
        <v>615</v>
      </c>
      <c r="G75" s="4" t="s">
        <v>575</v>
      </c>
      <c r="H75" s="7">
        <v>45630</v>
      </c>
      <c r="I75" s="7">
        <v>45639</v>
      </c>
      <c r="J75" s="52">
        <f t="shared" si="7"/>
        <v>10</v>
      </c>
      <c r="K75" s="7" t="s">
        <v>27</v>
      </c>
      <c r="L75" s="3">
        <v>243</v>
      </c>
      <c r="M75" s="3">
        <v>4</v>
      </c>
      <c r="N75" s="1"/>
      <c r="O75" s="1"/>
      <c r="P75" s="1"/>
    </row>
    <row r="76" spans="1:16" x14ac:dyDescent="0.25">
      <c r="A76" s="9">
        <v>118</v>
      </c>
      <c r="B76" s="3" t="s">
        <v>6</v>
      </c>
      <c r="C76" s="3" t="s">
        <v>278</v>
      </c>
      <c r="D76" s="3" t="s">
        <v>279</v>
      </c>
      <c r="E76" s="7" t="s">
        <v>259</v>
      </c>
      <c r="F76" s="146" t="s">
        <v>570</v>
      </c>
      <c r="G76" s="4" t="s">
        <v>579</v>
      </c>
      <c r="H76" s="7">
        <v>45625</v>
      </c>
      <c r="I76" s="7">
        <v>45639</v>
      </c>
      <c r="J76" s="52">
        <f>IF(I76="", "", I76 - H76 + 1)</f>
        <v>15</v>
      </c>
      <c r="K76" s="7" t="s">
        <v>26</v>
      </c>
      <c r="L76" s="3">
        <v>448</v>
      </c>
      <c r="M76" s="3">
        <v>4</v>
      </c>
      <c r="N76" s="1"/>
      <c r="O76" s="1"/>
      <c r="P76" s="1"/>
    </row>
    <row r="77" spans="1:16" x14ac:dyDescent="0.25">
      <c r="A77" s="9">
        <v>117</v>
      </c>
      <c r="B77" s="3" t="s">
        <v>6</v>
      </c>
      <c r="C77" s="3" t="s">
        <v>277</v>
      </c>
      <c r="D77" s="3" t="s">
        <v>276</v>
      </c>
      <c r="E77" s="7" t="s">
        <v>97</v>
      </c>
      <c r="F77" s="146" t="s">
        <v>610</v>
      </c>
      <c r="G77" s="4" t="s">
        <v>577</v>
      </c>
      <c r="H77" s="7">
        <v>45621</v>
      </c>
      <c r="I77" s="7">
        <v>45630</v>
      </c>
      <c r="J77" s="52">
        <f t="shared" ref="J77:J79" si="8">IF(I77="", "", I77 - H77 + 1)</f>
        <v>10</v>
      </c>
      <c r="K77" s="7" t="s">
        <v>27</v>
      </c>
      <c r="L77" s="3">
        <v>280</v>
      </c>
      <c r="M77" s="3">
        <v>5</v>
      </c>
      <c r="N77" s="1"/>
      <c r="O77" s="1"/>
      <c r="P77" s="1"/>
    </row>
    <row r="78" spans="1:16" x14ac:dyDescent="0.25">
      <c r="A78" s="9">
        <v>116</v>
      </c>
      <c r="B78" s="3" t="s">
        <v>6</v>
      </c>
      <c r="C78" s="3" t="s">
        <v>282</v>
      </c>
      <c r="D78" s="3" t="s">
        <v>283</v>
      </c>
      <c r="E78" s="7" t="s">
        <v>284</v>
      </c>
      <c r="F78" s="146" t="s">
        <v>611</v>
      </c>
      <c r="G78" s="4" t="s">
        <v>577</v>
      </c>
      <c r="H78" s="7">
        <v>45625</v>
      </c>
      <c r="I78" s="7">
        <v>45626</v>
      </c>
      <c r="J78" s="52">
        <f t="shared" si="8"/>
        <v>2</v>
      </c>
      <c r="K78" s="7" t="s">
        <v>27</v>
      </c>
      <c r="L78" s="3">
        <v>146</v>
      </c>
      <c r="M78" s="3">
        <v>4</v>
      </c>
      <c r="N78" s="1"/>
      <c r="O78" s="1"/>
      <c r="P78" s="1"/>
    </row>
    <row r="79" spans="1:16" x14ac:dyDescent="0.25">
      <c r="A79" s="9">
        <v>115</v>
      </c>
      <c r="B79" s="3" t="s">
        <v>6</v>
      </c>
      <c r="C79" s="3" t="s">
        <v>273</v>
      </c>
      <c r="D79" s="3" t="s">
        <v>274</v>
      </c>
      <c r="E79" s="7" t="s">
        <v>275</v>
      </c>
      <c r="F79" s="146" t="s">
        <v>568</v>
      </c>
      <c r="G79" s="4" t="s">
        <v>577</v>
      </c>
      <c r="H79" s="7">
        <v>45618</v>
      </c>
      <c r="I79" s="7">
        <v>45620</v>
      </c>
      <c r="J79" s="52">
        <f t="shared" si="8"/>
        <v>3</v>
      </c>
      <c r="K79" s="7" t="s">
        <v>27</v>
      </c>
      <c r="L79" s="3">
        <v>126</v>
      </c>
      <c r="M79" s="3">
        <v>3.5</v>
      </c>
      <c r="N79" s="1"/>
      <c r="O79" s="1"/>
      <c r="P79" s="1"/>
    </row>
    <row r="80" spans="1:16" x14ac:dyDescent="0.25">
      <c r="A80" s="9">
        <v>114</v>
      </c>
      <c r="B80" s="3" t="s">
        <v>6</v>
      </c>
      <c r="C80" s="3" t="s">
        <v>271</v>
      </c>
      <c r="D80" s="3" t="s">
        <v>260</v>
      </c>
      <c r="E80" s="7" t="s">
        <v>156</v>
      </c>
      <c r="F80" s="146" t="s">
        <v>564</v>
      </c>
      <c r="G80" s="4" t="s">
        <v>577</v>
      </c>
      <c r="H80" s="7">
        <v>45563</v>
      </c>
      <c r="I80" s="7">
        <v>45617</v>
      </c>
      <c r="J80" s="52">
        <f t="shared" ref="J80:J85" si="9">IF(I80="", "", I80 - H80 + 1)</f>
        <v>55</v>
      </c>
      <c r="K80" s="7" t="s">
        <v>27</v>
      </c>
      <c r="L80" s="3">
        <v>336</v>
      </c>
      <c r="M80" s="3">
        <v>4.5</v>
      </c>
      <c r="N80" s="1"/>
      <c r="O80" s="1"/>
      <c r="P80" s="1"/>
    </row>
    <row r="81" spans="1:16" x14ac:dyDescent="0.25">
      <c r="A81" s="9">
        <v>113</v>
      </c>
      <c r="B81" s="3" t="s">
        <v>6</v>
      </c>
      <c r="C81" s="3" t="s">
        <v>264</v>
      </c>
      <c r="D81" s="3" t="s">
        <v>265</v>
      </c>
      <c r="E81" s="7" t="s">
        <v>266</v>
      </c>
      <c r="F81" s="146" t="s">
        <v>574</v>
      </c>
      <c r="G81" s="4" t="s">
        <v>575</v>
      </c>
      <c r="H81" s="7">
        <v>45607</v>
      </c>
      <c r="I81" s="7">
        <v>45615</v>
      </c>
      <c r="J81" s="52">
        <f t="shared" si="9"/>
        <v>9</v>
      </c>
      <c r="K81" s="7" t="s">
        <v>26</v>
      </c>
      <c r="L81" s="3">
        <v>336</v>
      </c>
      <c r="M81" s="3">
        <v>5</v>
      </c>
      <c r="N81" s="1"/>
      <c r="O81" s="1"/>
      <c r="P81" s="1"/>
    </row>
    <row r="82" spans="1:16" x14ac:dyDescent="0.25">
      <c r="A82" s="9">
        <v>112</v>
      </c>
      <c r="B82" s="3" t="s">
        <v>6</v>
      </c>
      <c r="C82" s="3" t="s">
        <v>257</v>
      </c>
      <c r="D82" s="3" t="s">
        <v>258</v>
      </c>
      <c r="E82" s="7" t="s">
        <v>259</v>
      </c>
      <c r="F82" s="146" t="s">
        <v>609</v>
      </c>
      <c r="G82" s="4" t="s">
        <v>579</v>
      </c>
      <c r="H82" s="7">
        <v>45600</v>
      </c>
      <c r="I82" s="7">
        <v>45613</v>
      </c>
      <c r="J82" s="52">
        <f t="shared" si="9"/>
        <v>14</v>
      </c>
      <c r="K82" s="7" t="s">
        <v>26</v>
      </c>
      <c r="L82" s="3">
        <v>272</v>
      </c>
      <c r="M82" s="3">
        <v>4</v>
      </c>
      <c r="N82" s="1"/>
      <c r="O82" s="1"/>
      <c r="P82" s="1"/>
    </row>
    <row r="83" spans="1:16" x14ac:dyDescent="0.25">
      <c r="A83" s="9">
        <v>111</v>
      </c>
      <c r="B83" s="3" t="s">
        <v>6</v>
      </c>
      <c r="C83" s="3" t="s">
        <v>267</v>
      </c>
      <c r="D83" s="3" t="s">
        <v>268</v>
      </c>
      <c r="E83" s="7" t="s">
        <v>269</v>
      </c>
      <c r="F83" s="146" t="s">
        <v>598</v>
      </c>
      <c r="G83" s="4" t="s">
        <v>577</v>
      </c>
      <c r="H83" s="7">
        <v>45610</v>
      </c>
      <c r="I83" s="7">
        <v>45610</v>
      </c>
      <c r="J83" s="52">
        <f t="shared" si="9"/>
        <v>1</v>
      </c>
      <c r="K83" s="7" t="s">
        <v>26</v>
      </c>
      <c r="L83" s="3">
        <v>160</v>
      </c>
      <c r="M83" s="3">
        <v>4</v>
      </c>
      <c r="N83" s="1"/>
      <c r="O83" s="1"/>
      <c r="P83" s="1"/>
    </row>
    <row r="84" spans="1:16" x14ac:dyDescent="0.25">
      <c r="A84" s="9">
        <v>110</v>
      </c>
      <c r="B84" s="3" t="s">
        <v>6</v>
      </c>
      <c r="C84" s="3" t="s">
        <v>256</v>
      </c>
      <c r="D84" s="3" t="s">
        <v>225</v>
      </c>
      <c r="E84" s="7" t="s">
        <v>115</v>
      </c>
      <c r="F84" s="146" t="s">
        <v>568</v>
      </c>
      <c r="G84" s="4" t="s">
        <v>575</v>
      </c>
      <c r="H84" s="7">
        <v>45603</v>
      </c>
      <c r="I84" s="7">
        <v>45605</v>
      </c>
      <c r="J84" s="52">
        <f t="shared" si="9"/>
        <v>3</v>
      </c>
      <c r="K84" s="7" t="s">
        <v>26</v>
      </c>
      <c r="L84" s="3">
        <v>217</v>
      </c>
      <c r="M84" s="3">
        <v>4.5</v>
      </c>
      <c r="N84" s="1"/>
      <c r="O84" s="1"/>
      <c r="P84" s="1"/>
    </row>
    <row r="85" spans="1:16" x14ac:dyDescent="0.25">
      <c r="A85" s="9">
        <v>109</v>
      </c>
      <c r="B85" s="3" t="s">
        <v>6</v>
      </c>
      <c r="C85" s="3" t="s">
        <v>262</v>
      </c>
      <c r="D85" s="3" t="s">
        <v>352</v>
      </c>
      <c r="E85" s="7" t="s">
        <v>263</v>
      </c>
      <c r="F85" s="146" t="s">
        <v>608</v>
      </c>
      <c r="G85" s="4" t="s">
        <v>577</v>
      </c>
      <c r="H85" s="7">
        <v>45602</v>
      </c>
      <c r="I85" s="7">
        <v>45602</v>
      </c>
      <c r="J85" s="52">
        <f t="shared" si="9"/>
        <v>1</v>
      </c>
      <c r="K85" s="7" t="s">
        <v>27</v>
      </c>
      <c r="L85" s="3">
        <v>59</v>
      </c>
      <c r="M85" s="3">
        <v>4</v>
      </c>
      <c r="N85" s="1"/>
      <c r="O85" s="1"/>
      <c r="P85" s="1"/>
    </row>
    <row r="86" spans="1:16" x14ac:dyDescent="0.25">
      <c r="A86" s="9">
        <v>108</v>
      </c>
      <c r="B86" s="3" t="s">
        <v>6</v>
      </c>
      <c r="C86" s="3" t="s">
        <v>248</v>
      </c>
      <c r="D86" s="3" t="s">
        <v>249</v>
      </c>
      <c r="E86" s="7" t="s">
        <v>270</v>
      </c>
      <c r="F86" s="146" t="s">
        <v>612</v>
      </c>
      <c r="G86" s="4" t="s">
        <v>575</v>
      </c>
      <c r="H86" s="7">
        <v>45586</v>
      </c>
      <c r="I86" s="7">
        <v>45599</v>
      </c>
      <c r="J86" s="52">
        <f t="shared" ref="J86:J116" si="10">IF(I86="", "", I86 - H86 + 1)</f>
        <v>14</v>
      </c>
      <c r="K86" s="7" t="s">
        <v>27</v>
      </c>
      <c r="L86" s="3">
        <v>524</v>
      </c>
      <c r="M86" s="3">
        <v>3</v>
      </c>
      <c r="N86" s="1"/>
      <c r="O86" s="1"/>
      <c r="P86" s="1"/>
    </row>
    <row r="87" spans="1:16" x14ac:dyDescent="0.25">
      <c r="A87" s="9">
        <v>107</v>
      </c>
      <c r="B87" s="3" t="s">
        <v>6</v>
      </c>
      <c r="C87" s="3" t="s">
        <v>243</v>
      </c>
      <c r="D87" s="3" t="s">
        <v>244</v>
      </c>
      <c r="E87" s="7" t="s">
        <v>156</v>
      </c>
      <c r="F87" s="146" t="s">
        <v>626</v>
      </c>
      <c r="G87" s="4" t="s">
        <v>579</v>
      </c>
      <c r="H87" s="7">
        <v>45563</v>
      </c>
      <c r="I87" s="7">
        <v>45598</v>
      </c>
      <c r="J87" s="52">
        <f t="shared" si="10"/>
        <v>36</v>
      </c>
      <c r="K87" s="7" t="s">
        <v>26</v>
      </c>
      <c r="L87" s="3">
        <v>496</v>
      </c>
      <c r="M87" s="3">
        <v>5</v>
      </c>
      <c r="N87" s="1"/>
      <c r="O87" s="1"/>
      <c r="P87" s="1"/>
    </row>
    <row r="88" spans="1:16" x14ac:dyDescent="0.25">
      <c r="A88" s="9">
        <v>106</v>
      </c>
      <c r="B88" s="3" t="s">
        <v>6</v>
      </c>
      <c r="C88" s="3" t="s">
        <v>251</v>
      </c>
      <c r="D88" s="3" t="s">
        <v>250</v>
      </c>
      <c r="E88" s="7" t="s">
        <v>160</v>
      </c>
      <c r="F88" s="146" t="s">
        <v>613</v>
      </c>
      <c r="G88" s="4" t="s">
        <v>592</v>
      </c>
      <c r="H88" s="7">
        <v>45590</v>
      </c>
      <c r="I88" s="7">
        <v>45592</v>
      </c>
      <c r="J88" s="52">
        <f t="shared" si="10"/>
        <v>3</v>
      </c>
      <c r="K88" s="7" t="s">
        <v>27</v>
      </c>
      <c r="L88" s="3">
        <v>176</v>
      </c>
      <c r="M88" s="3">
        <v>3.5</v>
      </c>
      <c r="N88" s="1"/>
      <c r="O88" s="1"/>
      <c r="P88" s="1"/>
    </row>
    <row r="89" spans="1:16" x14ac:dyDescent="0.25">
      <c r="A89" s="9">
        <v>105</v>
      </c>
      <c r="B89" s="3" t="s">
        <v>6</v>
      </c>
      <c r="C89" s="3" t="s">
        <v>252</v>
      </c>
      <c r="D89" s="3" t="s">
        <v>246</v>
      </c>
      <c r="E89" s="7" t="s">
        <v>247</v>
      </c>
      <c r="F89" s="146" t="s">
        <v>605</v>
      </c>
      <c r="G89" s="4" t="s">
        <v>579</v>
      </c>
      <c r="H89" s="7">
        <v>45591</v>
      </c>
      <c r="I89" s="7">
        <v>45591</v>
      </c>
      <c r="J89" s="52">
        <f t="shared" si="10"/>
        <v>1</v>
      </c>
      <c r="K89" s="7" t="s">
        <v>26</v>
      </c>
      <c r="L89" s="3">
        <v>144</v>
      </c>
      <c r="M89" s="3">
        <v>4</v>
      </c>
      <c r="N89" s="1"/>
      <c r="O89" s="1"/>
      <c r="P89" s="1"/>
    </row>
    <row r="90" spans="1:16" x14ac:dyDescent="0.25">
      <c r="A90" s="9">
        <v>104</v>
      </c>
      <c r="B90" s="3" t="s">
        <v>6</v>
      </c>
      <c r="C90" s="3" t="s">
        <v>245</v>
      </c>
      <c r="D90" s="3" t="s">
        <v>246</v>
      </c>
      <c r="E90" s="7" t="s">
        <v>247</v>
      </c>
      <c r="F90" s="146" t="s">
        <v>605</v>
      </c>
      <c r="G90" s="4" t="s">
        <v>579</v>
      </c>
      <c r="H90" s="7">
        <v>45583</v>
      </c>
      <c r="I90" s="7">
        <v>45585</v>
      </c>
      <c r="J90" s="52">
        <f t="shared" si="10"/>
        <v>3</v>
      </c>
      <c r="K90" s="7" t="s">
        <v>26</v>
      </c>
      <c r="L90" s="3">
        <v>160</v>
      </c>
      <c r="M90" s="3">
        <v>4</v>
      </c>
      <c r="N90" s="1"/>
      <c r="O90" s="1"/>
      <c r="P90" s="1"/>
    </row>
    <row r="91" spans="1:16" x14ac:dyDescent="0.25">
      <c r="A91" s="9">
        <v>103</v>
      </c>
      <c r="B91" s="3" t="s">
        <v>6</v>
      </c>
      <c r="C91" s="3" t="s">
        <v>240</v>
      </c>
      <c r="D91" s="3" t="s">
        <v>241</v>
      </c>
      <c r="E91" s="7" t="s">
        <v>242</v>
      </c>
      <c r="F91" s="146" t="s">
        <v>570</v>
      </c>
      <c r="G91" s="4" t="s">
        <v>582</v>
      </c>
      <c r="H91" s="7">
        <v>45547</v>
      </c>
      <c r="I91" s="7">
        <v>45585</v>
      </c>
      <c r="J91" s="52">
        <f t="shared" si="10"/>
        <v>39</v>
      </c>
      <c r="K91" s="7" t="s">
        <v>27</v>
      </c>
      <c r="L91" s="3">
        <v>1755</v>
      </c>
      <c r="M91" s="3">
        <v>5</v>
      </c>
      <c r="N91" s="1"/>
      <c r="O91" s="1"/>
      <c r="P91" s="1"/>
    </row>
    <row r="92" spans="1:16" x14ac:dyDescent="0.25">
      <c r="A92" s="9">
        <v>102</v>
      </c>
      <c r="B92" s="3" t="s">
        <v>148</v>
      </c>
      <c r="C92" s="3" t="s">
        <v>221</v>
      </c>
      <c r="D92" s="3" t="s">
        <v>369</v>
      </c>
      <c r="E92" s="7" t="s">
        <v>69</v>
      </c>
      <c r="F92" s="146" t="s">
        <v>572</v>
      </c>
      <c r="G92" s="4" t="s">
        <v>579</v>
      </c>
      <c r="H92" s="7">
        <v>45531</v>
      </c>
      <c r="I92" s="7">
        <v>45562</v>
      </c>
      <c r="J92" s="52">
        <f t="shared" si="10"/>
        <v>32</v>
      </c>
      <c r="K92" s="7" t="s">
        <v>26</v>
      </c>
      <c r="L92" s="3">
        <v>400</v>
      </c>
      <c r="M92" s="3">
        <v>5</v>
      </c>
      <c r="N92" s="1"/>
      <c r="O92" s="1"/>
      <c r="P92" s="1"/>
    </row>
    <row r="93" spans="1:16" x14ac:dyDescent="0.25">
      <c r="A93" s="9">
        <v>101</v>
      </c>
      <c r="B93" s="3" t="s">
        <v>6</v>
      </c>
      <c r="C93" s="3" t="s">
        <v>239</v>
      </c>
      <c r="D93" s="3" t="s">
        <v>130</v>
      </c>
      <c r="E93" s="7" t="s">
        <v>238</v>
      </c>
      <c r="F93" s="146" t="s">
        <v>602</v>
      </c>
      <c r="G93" s="4" t="s">
        <v>577</v>
      </c>
      <c r="H93" s="7">
        <v>45538</v>
      </c>
      <c r="I93" s="7">
        <v>45546</v>
      </c>
      <c r="J93" s="52">
        <f t="shared" si="10"/>
        <v>9</v>
      </c>
      <c r="K93" s="7" t="s">
        <v>27</v>
      </c>
      <c r="L93" s="3">
        <v>319</v>
      </c>
      <c r="M93" s="3">
        <v>4</v>
      </c>
      <c r="N93" s="1"/>
      <c r="O93" s="1"/>
      <c r="P93" s="1"/>
    </row>
    <row r="94" spans="1:16" x14ac:dyDescent="0.25">
      <c r="A94" s="9">
        <v>100</v>
      </c>
      <c r="B94" s="3" t="s">
        <v>6</v>
      </c>
      <c r="C94" s="3" t="s">
        <v>236</v>
      </c>
      <c r="D94" s="3" t="s">
        <v>237</v>
      </c>
      <c r="E94" s="7" t="s">
        <v>233</v>
      </c>
      <c r="F94" s="146" t="s">
        <v>567</v>
      </c>
      <c r="G94" s="4" t="s">
        <v>578</v>
      </c>
      <c r="H94" s="7">
        <v>45536</v>
      </c>
      <c r="I94" s="7">
        <v>45537</v>
      </c>
      <c r="J94" s="52">
        <f t="shared" si="10"/>
        <v>2</v>
      </c>
      <c r="K94" s="7" t="s">
        <v>27</v>
      </c>
      <c r="L94" s="3">
        <v>180</v>
      </c>
      <c r="M94" s="3">
        <v>4</v>
      </c>
      <c r="N94" s="1"/>
      <c r="O94" s="1"/>
      <c r="P94" s="1"/>
    </row>
    <row r="95" spans="1:16" x14ac:dyDescent="0.25">
      <c r="A95" s="9">
        <v>99</v>
      </c>
      <c r="B95" s="3" t="s">
        <v>6</v>
      </c>
      <c r="C95" s="3" t="s">
        <v>234</v>
      </c>
      <c r="D95" s="3" t="s">
        <v>232</v>
      </c>
      <c r="E95" s="7" t="s">
        <v>235</v>
      </c>
      <c r="F95" s="146" t="s">
        <v>598</v>
      </c>
      <c r="G95" s="4" t="s">
        <v>579</v>
      </c>
      <c r="H95" s="7">
        <v>45535</v>
      </c>
      <c r="I95" s="7">
        <v>45535</v>
      </c>
      <c r="J95" s="52">
        <f t="shared" si="10"/>
        <v>1</v>
      </c>
      <c r="K95" s="7" t="s">
        <v>27</v>
      </c>
      <c r="L95" s="3">
        <v>43</v>
      </c>
      <c r="M95" s="3">
        <v>3.5</v>
      </c>
      <c r="N95" s="1"/>
      <c r="O95" s="1"/>
      <c r="P95" s="1"/>
    </row>
    <row r="96" spans="1:16" x14ac:dyDescent="0.25">
      <c r="A96" s="9">
        <v>98</v>
      </c>
      <c r="B96" s="3" t="s">
        <v>6</v>
      </c>
      <c r="C96" s="3" t="s">
        <v>227</v>
      </c>
      <c r="D96" s="3" t="s">
        <v>225</v>
      </c>
      <c r="E96" s="7" t="s">
        <v>115</v>
      </c>
      <c r="F96" s="146" t="s">
        <v>568</v>
      </c>
      <c r="G96" s="4" t="s">
        <v>575</v>
      </c>
      <c r="H96" s="7">
        <v>45512</v>
      </c>
      <c r="I96" s="7">
        <v>45534</v>
      </c>
      <c r="J96" s="52">
        <f t="shared" si="10"/>
        <v>23</v>
      </c>
      <c r="K96" s="7" t="s">
        <v>26</v>
      </c>
      <c r="L96" s="3">
        <v>232</v>
      </c>
      <c r="M96" s="3">
        <v>3.5</v>
      </c>
      <c r="N96" s="1"/>
      <c r="O96" s="1"/>
      <c r="P96" s="1"/>
    </row>
    <row r="97" spans="1:16" x14ac:dyDescent="0.25">
      <c r="A97" s="9">
        <v>97</v>
      </c>
      <c r="B97" s="3" t="s">
        <v>6</v>
      </c>
      <c r="C97" s="3" t="s">
        <v>231</v>
      </c>
      <c r="D97" s="3" t="s">
        <v>232</v>
      </c>
      <c r="E97" s="7" t="s">
        <v>233</v>
      </c>
      <c r="F97" s="146" t="s">
        <v>620</v>
      </c>
      <c r="G97" s="4" t="s">
        <v>579</v>
      </c>
      <c r="H97" s="7">
        <v>45527</v>
      </c>
      <c r="I97" s="7">
        <v>45533</v>
      </c>
      <c r="J97" s="52">
        <f t="shared" si="10"/>
        <v>7</v>
      </c>
      <c r="K97" s="7" t="s">
        <v>27</v>
      </c>
      <c r="L97" s="3">
        <v>368</v>
      </c>
      <c r="M97" s="3">
        <v>5</v>
      </c>
      <c r="N97" s="1"/>
      <c r="O97" s="1"/>
      <c r="P97" s="1"/>
    </row>
    <row r="98" spans="1:16" x14ac:dyDescent="0.25">
      <c r="A98" s="9">
        <v>96</v>
      </c>
      <c r="B98" s="3" t="s">
        <v>6</v>
      </c>
      <c r="C98" s="3" t="s">
        <v>228</v>
      </c>
      <c r="D98" s="3" t="s">
        <v>229</v>
      </c>
      <c r="E98" s="7" t="s">
        <v>230</v>
      </c>
      <c r="F98" s="146" t="s">
        <v>568</v>
      </c>
      <c r="G98" s="4" t="s">
        <v>580</v>
      </c>
      <c r="H98" s="7">
        <v>45519</v>
      </c>
      <c r="I98" s="7">
        <v>45526</v>
      </c>
      <c r="J98" s="52">
        <f t="shared" si="10"/>
        <v>8</v>
      </c>
      <c r="K98" s="7" t="s">
        <v>27</v>
      </c>
      <c r="L98" s="3">
        <v>169</v>
      </c>
      <c r="M98" s="3">
        <v>5</v>
      </c>
      <c r="N98" s="1"/>
      <c r="O98" s="1"/>
      <c r="P98" s="1"/>
    </row>
    <row r="99" spans="1:16" x14ac:dyDescent="0.25">
      <c r="A99" s="9">
        <v>95</v>
      </c>
      <c r="B99" s="3" t="s">
        <v>6</v>
      </c>
      <c r="C99" s="3" t="s">
        <v>216</v>
      </c>
      <c r="D99" s="3" t="s">
        <v>217</v>
      </c>
      <c r="E99" s="7" t="s">
        <v>218</v>
      </c>
      <c r="F99" s="146" t="s">
        <v>571</v>
      </c>
      <c r="G99" s="4" t="s">
        <v>579</v>
      </c>
      <c r="H99" s="7">
        <v>45483</v>
      </c>
      <c r="I99" s="7">
        <v>45517</v>
      </c>
      <c r="J99" s="52">
        <f t="shared" si="10"/>
        <v>35</v>
      </c>
      <c r="K99" s="7" t="s">
        <v>27</v>
      </c>
      <c r="L99" s="3">
        <v>981</v>
      </c>
      <c r="M99" s="3">
        <v>5</v>
      </c>
      <c r="N99" s="1"/>
      <c r="O99" s="1"/>
      <c r="P99" s="1"/>
    </row>
    <row r="100" spans="1:16" x14ac:dyDescent="0.25">
      <c r="A100" s="9">
        <v>94</v>
      </c>
      <c r="B100" s="3" t="s">
        <v>6</v>
      </c>
      <c r="C100" s="3" t="s">
        <v>351</v>
      </c>
      <c r="D100" s="3" t="s">
        <v>225</v>
      </c>
      <c r="E100" s="7" t="s">
        <v>226</v>
      </c>
      <c r="F100" s="146" t="s">
        <v>568</v>
      </c>
      <c r="G100" s="4" t="s">
        <v>575</v>
      </c>
      <c r="H100" s="7">
        <v>45503</v>
      </c>
      <c r="I100" s="7">
        <v>45508</v>
      </c>
      <c r="J100" s="52">
        <f t="shared" si="10"/>
        <v>6</v>
      </c>
      <c r="K100" s="7" t="s">
        <v>26</v>
      </c>
      <c r="L100" s="3">
        <v>400</v>
      </c>
      <c r="M100" s="3">
        <v>5</v>
      </c>
      <c r="N100" s="1"/>
      <c r="O100" s="1"/>
      <c r="P100" s="1"/>
    </row>
    <row r="101" spans="1:16" x14ac:dyDescent="0.25">
      <c r="A101" s="9">
        <v>93</v>
      </c>
      <c r="B101" s="3" t="s">
        <v>6</v>
      </c>
      <c r="C101" s="3">
        <v>1984</v>
      </c>
      <c r="D101" s="3" t="s">
        <v>135</v>
      </c>
      <c r="E101" s="7" t="s">
        <v>179</v>
      </c>
      <c r="F101" s="146" t="s">
        <v>605</v>
      </c>
      <c r="G101" s="4" t="s">
        <v>575</v>
      </c>
      <c r="H101" s="7">
        <v>45460</v>
      </c>
      <c r="I101" s="7">
        <v>45500</v>
      </c>
      <c r="J101" s="52">
        <f t="shared" si="10"/>
        <v>41</v>
      </c>
      <c r="K101" s="7" t="s">
        <v>26</v>
      </c>
      <c r="L101" s="3">
        <v>320</v>
      </c>
      <c r="M101" s="3">
        <v>5</v>
      </c>
      <c r="N101" s="1"/>
      <c r="O101" s="1"/>
      <c r="P101" s="1"/>
    </row>
    <row r="102" spans="1:16" x14ac:dyDescent="0.25">
      <c r="A102" s="9">
        <v>92</v>
      </c>
      <c r="B102" s="3" t="s">
        <v>176</v>
      </c>
      <c r="C102" s="3" t="s">
        <v>222</v>
      </c>
      <c r="D102" s="3" t="s">
        <v>223</v>
      </c>
      <c r="E102" s="7" t="s">
        <v>224</v>
      </c>
      <c r="F102" s="146" t="s">
        <v>628</v>
      </c>
      <c r="G102" s="4" t="s">
        <v>589</v>
      </c>
      <c r="H102" s="7">
        <v>45494</v>
      </c>
      <c r="I102" s="7">
        <v>45497</v>
      </c>
      <c r="J102" s="52">
        <f t="shared" si="10"/>
        <v>4</v>
      </c>
      <c r="K102" s="7" t="s">
        <v>26</v>
      </c>
      <c r="L102" s="3">
        <v>192</v>
      </c>
      <c r="M102" s="3">
        <v>5</v>
      </c>
      <c r="N102" s="1"/>
      <c r="O102" s="1"/>
      <c r="P102" s="1"/>
    </row>
    <row r="103" spans="1:16" x14ac:dyDescent="0.25">
      <c r="A103" s="9">
        <v>91</v>
      </c>
      <c r="B103" s="3" t="s">
        <v>176</v>
      </c>
      <c r="C103" s="3" t="s">
        <v>219</v>
      </c>
      <c r="D103" s="3" t="s">
        <v>178</v>
      </c>
      <c r="E103" s="7" t="s">
        <v>69</v>
      </c>
      <c r="F103" s="146" t="s">
        <v>628</v>
      </c>
      <c r="G103" s="4" t="s">
        <v>589</v>
      </c>
      <c r="H103" s="7">
        <v>45480</v>
      </c>
      <c r="I103" s="7">
        <v>45492</v>
      </c>
      <c r="J103" s="52">
        <f t="shared" si="10"/>
        <v>13</v>
      </c>
      <c r="K103" s="7" t="s">
        <v>26</v>
      </c>
      <c r="L103" s="3">
        <v>236</v>
      </c>
      <c r="M103" s="3">
        <v>5</v>
      </c>
      <c r="N103" s="1"/>
      <c r="O103" s="1"/>
      <c r="P103" s="1"/>
    </row>
    <row r="104" spans="1:16" x14ac:dyDescent="0.25">
      <c r="A104" s="9">
        <v>90</v>
      </c>
      <c r="B104" s="3" t="s">
        <v>148</v>
      </c>
      <c r="C104" s="3" t="s">
        <v>220</v>
      </c>
      <c r="D104" s="3" t="s">
        <v>369</v>
      </c>
      <c r="E104" s="7" t="s">
        <v>67</v>
      </c>
      <c r="F104" s="146" t="s">
        <v>572</v>
      </c>
      <c r="G104" s="4" t="s">
        <v>579</v>
      </c>
      <c r="H104" s="7">
        <v>45486</v>
      </c>
      <c r="I104" s="7">
        <v>45487</v>
      </c>
      <c r="J104" s="52">
        <f t="shared" si="10"/>
        <v>2</v>
      </c>
      <c r="K104" s="7" t="s">
        <v>26</v>
      </c>
      <c r="L104" s="3">
        <v>168</v>
      </c>
      <c r="M104" s="3">
        <v>4</v>
      </c>
      <c r="N104" s="1"/>
      <c r="O104" s="1"/>
      <c r="P104" s="1"/>
    </row>
    <row r="105" spans="1:16" x14ac:dyDescent="0.25">
      <c r="A105" s="9">
        <v>89</v>
      </c>
      <c r="B105" s="3" t="s">
        <v>148</v>
      </c>
      <c r="C105" s="3" t="s">
        <v>215</v>
      </c>
      <c r="D105" s="3" t="s">
        <v>394</v>
      </c>
      <c r="E105" s="7" t="s">
        <v>69</v>
      </c>
      <c r="F105" s="146" t="s">
        <v>572</v>
      </c>
      <c r="G105" s="4" t="s">
        <v>579</v>
      </c>
      <c r="H105" s="7">
        <v>45480</v>
      </c>
      <c r="I105" s="7">
        <v>45482</v>
      </c>
      <c r="J105" s="52">
        <f t="shared" si="10"/>
        <v>3</v>
      </c>
      <c r="K105" s="7" t="s">
        <v>26</v>
      </c>
      <c r="L105" s="3">
        <v>176</v>
      </c>
      <c r="M105" s="3">
        <v>3.5</v>
      </c>
      <c r="N105" s="1"/>
      <c r="O105" s="1"/>
      <c r="P105" s="1"/>
    </row>
    <row r="106" spans="1:16" x14ac:dyDescent="0.25">
      <c r="A106" s="9">
        <v>88</v>
      </c>
      <c r="B106" s="3" t="s">
        <v>6</v>
      </c>
      <c r="C106" s="3" t="s">
        <v>212</v>
      </c>
      <c r="D106" s="3" t="s">
        <v>213</v>
      </c>
      <c r="E106" s="7" t="s">
        <v>214</v>
      </c>
      <c r="F106" s="146" t="s">
        <v>629</v>
      </c>
      <c r="G106" s="4" t="s">
        <v>577</v>
      </c>
      <c r="H106" s="7">
        <v>45480</v>
      </c>
      <c r="I106" s="7">
        <v>45481</v>
      </c>
      <c r="J106" s="52">
        <f t="shared" si="10"/>
        <v>2</v>
      </c>
      <c r="K106" s="7" t="s">
        <v>27</v>
      </c>
      <c r="L106" s="3">
        <v>129</v>
      </c>
      <c r="M106" s="3">
        <v>5</v>
      </c>
      <c r="N106" s="1"/>
      <c r="O106" s="1"/>
      <c r="P106" s="1"/>
    </row>
    <row r="107" spans="1:16" x14ac:dyDescent="0.25">
      <c r="A107" s="9">
        <v>87</v>
      </c>
      <c r="B107" s="3" t="s">
        <v>148</v>
      </c>
      <c r="C107" s="3" t="s">
        <v>211</v>
      </c>
      <c r="D107" s="3" t="s">
        <v>393</v>
      </c>
      <c r="E107" s="7" t="s">
        <v>67</v>
      </c>
      <c r="F107" s="146" t="s">
        <v>572</v>
      </c>
      <c r="G107" s="4" t="s">
        <v>579</v>
      </c>
      <c r="H107" s="7">
        <v>45476</v>
      </c>
      <c r="I107" s="7">
        <v>45480</v>
      </c>
      <c r="J107" s="52">
        <f t="shared" si="10"/>
        <v>5</v>
      </c>
      <c r="K107" s="7" t="s">
        <v>26</v>
      </c>
      <c r="L107" s="3">
        <v>216</v>
      </c>
      <c r="M107" s="3">
        <v>4</v>
      </c>
      <c r="N107" s="1"/>
      <c r="O107" s="1"/>
      <c r="P107" s="1"/>
    </row>
    <row r="108" spans="1:16" x14ac:dyDescent="0.25">
      <c r="A108" s="9">
        <v>86</v>
      </c>
      <c r="B108" s="3" t="s">
        <v>6</v>
      </c>
      <c r="C108" s="3" t="s">
        <v>209</v>
      </c>
      <c r="D108" s="3" t="s">
        <v>210</v>
      </c>
      <c r="E108" s="7" t="s">
        <v>41</v>
      </c>
      <c r="F108" s="146" t="s">
        <v>612</v>
      </c>
      <c r="G108" s="4" t="s">
        <v>575</v>
      </c>
      <c r="H108" s="7">
        <v>45470</v>
      </c>
      <c r="I108" s="7">
        <v>45479</v>
      </c>
      <c r="J108" s="52">
        <f t="shared" si="10"/>
        <v>10</v>
      </c>
      <c r="K108" s="7" t="s">
        <v>27</v>
      </c>
      <c r="L108" s="3">
        <v>324</v>
      </c>
      <c r="M108" s="3">
        <v>5</v>
      </c>
      <c r="N108" s="1"/>
      <c r="O108" s="1"/>
      <c r="P108" s="1"/>
    </row>
    <row r="109" spans="1:16" x14ac:dyDescent="0.25">
      <c r="A109" s="9">
        <v>85</v>
      </c>
      <c r="B109" s="3" t="s">
        <v>148</v>
      </c>
      <c r="C109" s="3" t="s">
        <v>208</v>
      </c>
      <c r="D109" s="3" t="s">
        <v>401</v>
      </c>
      <c r="E109" s="7" t="s">
        <v>69</v>
      </c>
      <c r="F109" s="146" t="s">
        <v>572</v>
      </c>
      <c r="G109" s="4" t="s">
        <v>579</v>
      </c>
      <c r="H109" s="7">
        <v>45474</v>
      </c>
      <c r="I109" s="7">
        <v>45475</v>
      </c>
      <c r="J109" s="52">
        <f t="shared" si="10"/>
        <v>2</v>
      </c>
      <c r="K109" s="7" t="s">
        <v>26</v>
      </c>
      <c r="L109" s="3">
        <v>144</v>
      </c>
      <c r="M109" s="3">
        <v>3</v>
      </c>
      <c r="N109" s="1"/>
      <c r="O109" s="1"/>
      <c r="P109" s="1"/>
    </row>
    <row r="110" spans="1:16" x14ac:dyDescent="0.25">
      <c r="A110" s="9">
        <v>84</v>
      </c>
      <c r="B110" s="3" t="s">
        <v>6</v>
      </c>
      <c r="C110" s="3" t="s">
        <v>206</v>
      </c>
      <c r="D110" s="3" t="s">
        <v>395</v>
      </c>
      <c r="E110" s="7" t="s">
        <v>207</v>
      </c>
      <c r="F110" s="146" t="s">
        <v>571</v>
      </c>
      <c r="G110" s="4" t="s">
        <v>577</v>
      </c>
      <c r="H110" s="7">
        <v>45468</v>
      </c>
      <c r="I110" s="7">
        <v>45469</v>
      </c>
      <c r="J110" s="52">
        <f t="shared" si="10"/>
        <v>2</v>
      </c>
      <c r="K110" s="7" t="s">
        <v>27</v>
      </c>
      <c r="L110" s="3">
        <v>74</v>
      </c>
      <c r="M110" s="3">
        <v>4</v>
      </c>
      <c r="N110" s="1"/>
      <c r="O110" s="1"/>
      <c r="P110" s="1"/>
    </row>
    <row r="111" spans="1:16" x14ac:dyDescent="0.25">
      <c r="A111" s="9">
        <v>83</v>
      </c>
      <c r="B111" s="3" t="s">
        <v>148</v>
      </c>
      <c r="C111" s="3" t="s">
        <v>192</v>
      </c>
      <c r="D111" s="3" t="s">
        <v>396</v>
      </c>
      <c r="E111" s="7" t="s">
        <v>69</v>
      </c>
      <c r="F111" s="146" t="s">
        <v>572</v>
      </c>
      <c r="G111" s="4" t="s">
        <v>579</v>
      </c>
      <c r="H111" s="7">
        <v>45467</v>
      </c>
      <c r="I111" s="7">
        <v>45469</v>
      </c>
      <c r="J111" s="52">
        <f t="shared" si="10"/>
        <v>3</v>
      </c>
      <c r="K111" s="7" t="s">
        <v>26</v>
      </c>
      <c r="L111" s="3">
        <v>256</v>
      </c>
      <c r="M111" s="3">
        <v>5</v>
      </c>
      <c r="N111" s="1"/>
      <c r="O111" s="1"/>
      <c r="P111" s="1"/>
    </row>
    <row r="112" spans="1:16" x14ac:dyDescent="0.25">
      <c r="A112" s="9">
        <v>82</v>
      </c>
      <c r="B112" s="3" t="s">
        <v>6</v>
      </c>
      <c r="C112" s="3" t="s">
        <v>191</v>
      </c>
      <c r="D112" s="3" t="s">
        <v>190</v>
      </c>
      <c r="E112" s="7" t="s">
        <v>189</v>
      </c>
      <c r="F112" s="146" t="s">
        <v>623</v>
      </c>
      <c r="G112" s="4" t="s">
        <v>577</v>
      </c>
      <c r="H112" s="7">
        <v>45466</v>
      </c>
      <c r="I112" s="7">
        <v>45467</v>
      </c>
      <c r="J112" s="52">
        <f t="shared" si="10"/>
        <v>2</v>
      </c>
      <c r="K112" s="7" t="s">
        <v>27</v>
      </c>
      <c r="L112" s="3">
        <v>92</v>
      </c>
      <c r="M112" s="3">
        <v>4</v>
      </c>
      <c r="N112" s="1"/>
      <c r="O112" s="1"/>
      <c r="P112" s="1"/>
    </row>
    <row r="113" spans="1:16" x14ac:dyDescent="0.25">
      <c r="A113" s="9">
        <v>81</v>
      </c>
      <c r="B113" s="3" t="s">
        <v>148</v>
      </c>
      <c r="C113" s="3" t="s">
        <v>186</v>
      </c>
      <c r="D113" s="3" t="s">
        <v>182</v>
      </c>
      <c r="E113" s="7" t="s">
        <v>67</v>
      </c>
      <c r="F113" s="146" t="s">
        <v>572</v>
      </c>
      <c r="G113" s="4" t="s">
        <v>579</v>
      </c>
      <c r="H113" s="7">
        <v>45464</v>
      </c>
      <c r="I113" s="7">
        <v>45466</v>
      </c>
      <c r="J113" s="52">
        <f t="shared" si="10"/>
        <v>3</v>
      </c>
      <c r="K113" s="7" t="s">
        <v>26</v>
      </c>
      <c r="L113" s="3">
        <v>160</v>
      </c>
      <c r="M113" s="3">
        <v>3</v>
      </c>
      <c r="N113" s="1"/>
      <c r="O113" s="1"/>
      <c r="P113" s="1"/>
    </row>
    <row r="114" spans="1:16" x14ac:dyDescent="0.25">
      <c r="A114" s="9">
        <v>80</v>
      </c>
      <c r="B114" s="3" t="s">
        <v>6</v>
      </c>
      <c r="C114" s="3" t="s">
        <v>187</v>
      </c>
      <c r="D114" s="3" t="s">
        <v>188</v>
      </c>
      <c r="E114" s="7" t="s">
        <v>189</v>
      </c>
      <c r="F114" s="146" t="s">
        <v>600</v>
      </c>
      <c r="G114" s="4" t="s">
        <v>593</v>
      </c>
      <c r="H114" s="7">
        <v>45464</v>
      </c>
      <c r="I114" s="7">
        <v>45465</v>
      </c>
      <c r="J114" s="52">
        <f t="shared" si="10"/>
        <v>2</v>
      </c>
      <c r="K114" s="7" t="s">
        <v>27</v>
      </c>
      <c r="L114" s="3">
        <v>136</v>
      </c>
      <c r="M114" s="3">
        <v>3</v>
      </c>
      <c r="N114" s="1"/>
      <c r="O114" s="1"/>
      <c r="P114" s="1"/>
    </row>
    <row r="115" spans="1:16" x14ac:dyDescent="0.25">
      <c r="A115" s="9">
        <v>79</v>
      </c>
      <c r="B115" s="3" t="s">
        <v>176</v>
      </c>
      <c r="C115" s="3" t="s">
        <v>177</v>
      </c>
      <c r="D115" s="3" t="s">
        <v>178</v>
      </c>
      <c r="E115" s="7" t="s">
        <v>69</v>
      </c>
      <c r="F115" s="146" t="s">
        <v>628</v>
      </c>
      <c r="G115" s="4" t="s">
        <v>589</v>
      </c>
      <c r="H115" s="7">
        <v>45454</v>
      </c>
      <c r="I115" s="7">
        <v>45463</v>
      </c>
      <c r="J115" s="52">
        <f t="shared" si="10"/>
        <v>10</v>
      </c>
      <c r="K115" s="7" t="s">
        <v>26</v>
      </c>
      <c r="L115" s="3">
        <v>236</v>
      </c>
      <c r="M115" s="3">
        <v>5</v>
      </c>
      <c r="N115" s="1"/>
      <c r="O115" s="1"/>
      <c r="P115" s="1"/>
    </row>
    <row r="116" spans="1:16" x14ac:dyDescent="0.25">
      <c r="A116" s="9">
        <v>78</v>
      </c>
      <c r="B116" s="3" t="s">
        <v>6</v>
      </c>
      <c r="C116" s="3" t="s">
        <v>183</v>
      </c>
      <c r="D116" s="3" t="s">
        <v>184</v>
      </c>
      <c r="E116" s="7" t="s">
        <v>185</v>
      </c>
      <c r="F116" s="146" t="s">
        <v>603</v>
      </c>
      <c r="G116" s="4" t="s">
        <v>577</v>
      </c>
      <c r="H116" s="7">
        <v>45461</v>
      </c>
      <c r="I116" s="7">
        <v>45463</v>
      </c>
      <c r="J116" s="52">
        <f t="shared" si="10"/>
        <v>3</v>
      </c>
      <c r="K116" s="7" t="s">
        <v>27</v>
      </c>
      <c r="L116" s="3">
        <v>128</v>
      </c>
      <c r="M116" s="3">
        <v>3</v>
      </c>
      <c r="N116" s="1"/>
      <c r="O116" s="1"/>
      <c r="P116" s="1"/>
    </row>
    <row r="117" spans="1:16" x14ac:dyDescent="0.25">
      <c r="A117" s="9">
        <v>77</v>
      </c>
      <c r="B117" s="3" t="s">
        <v>148</v>
      </c>
      <c r="C117" s="3" t="s">
        <v>181</v>
      </c>
      <c r="D117" s="3" t="s">
        <v>182</v>
      </c>
      <c r="E117" s="7" t="s">
        <v>69</v>
      </c>
      <c r="F117" s="146" t="s">
        <v>572</v>
      </c>
      <c r="G117" s="4" t="s">
        <v>579</v>
      </c>
      <c r="H117" s="7">
        <v>45460</v>
      </c>
      <c r="I117" s="7">
        <v>45463</v>
      </c>
      <c r="J117" s="52">
        <f t="shared" ref="J117:J148" si="11">IF(I117="", "", I117 - H117 + 1)</f>
        <v>4</v>
      </c>
      <c r="K117" s="7" t="s">
        <v>26</v>
      </c>
      <c r="L117" s="3">
        <v>160</v>
      </c>
      <c r="M117" s="3">
        <v>3.5</v>
      </c>
      <c r="N117" s="1"/>
      <c r="O117" s="1"/>
      <c r="P117" s="1"/>
    </row>
    <row r="118" spans="1:16" x14ac:dyDescent="0.25">
      <c r="A118" s="9">
        <v>76</v>
      </c>
      <c r="B118" s="3" t="s">
        <v>6</v>
      </c>
      <c r="C118" s="3" t="s">
        <v>180</v>
      </c>
      <c r="D118" s="3" t="s">
        <v>389</v>
      </c>
      <c r="E118" s="7" t="s">
        <v>102</v>
      </c>
      <c r="F118" s="146" t="s">
        <v>566</v>
      </c>
      <c r="G118" s="4" t="s">
        <v>577</v>
      </c>
      <c r="H118" s="7">
        <v>45457</v>
      </c>
      <c r="I118" s="7">
        <v>45460</v>
      </c>
      <c r="J118" s="52">
        <f t="shared" si="11"/>
        <v>4</v>
      </c>
      <c r="K118" s="7" t="s">
        <v>27</v>
      </c>
      <c r="L118" s="3">
        <v>174</v>
      </c>
      <c r="M118" s="3">
        <v>4</v>
      </c>
      <c r="N118" s="1"/>
      <c r="O118" s="1"/>
      <c r="P118" s="1"/>
    </row>
    <row r="119" spans="1:16" x14ac:dyDescent="0.25">
      <c r="A119" s="9">
        <v>75</v>
      </c>
      <c r="B119" s="3" t="s">
        <v>148</v>
      </c>
      <c r="C119" s="3" t="s">
        <v>175</v>
      </c>
      <c r="D119" s="3" t="s">
        <v>397</v>
      </c>
      <c r="E119" s="7" t="s">
        <v>69</v>
      </c>
      <c r="F119" s="146" t="s">
        <v>572</v>
      </c>
      <c r="G119" s="4" t="s">
        <v>579</v>
      </c>
      <c r="H119" s="7">
        <v>45453</v>
      </c>
      <c r="I119" s="7">
        <v>45458</v>
      </c>
      <c r="J119" s="52">
        <f t="shared" si="11"/>
        <v>6</v>
      </c>
      <c r="K119" s="7" t="s">
        <v>26</v>
      </c>
      <c r="L119" s="3">
        <v>144</v>
      </c>
      <c r="M119" s="3">
        <v>4</v>
      </c>
      <c r="N119" s="1"/>
      <c r="O119" s="1"/>
      <c r="P119" s="1"/>
    </row>
    <row r="120" spans="1:16" x14ac:dyDescent="0.25">
      <c r="A120" s="9">
        <v>74</v>
      </c>
      <c r="B120" s="3" t="s">
        <v>6</v>
      </c>
      <c r="C120" s="3" t="s">
        <v>562</v>
      </c>
      <c r="D120" s="3" t="s">
        <v>172</v>
      </c>
      <c r="E120" s="7" t="s">
        <v>173</v>
      </c>
      <c r="F120" s="146" t="s">
        <v>605</v>
      </c>
      <c r="G120" s="4" t="s">
        <v>575</v>
      </c>
      <c r="H120" s="7">
        <v>45450</v>
      </c>
      <c r="I120" s="7">
        <v>45456</v>
      </c>
      <c r="J120" s="52">
        <f t="shared" si="11"/>
        <v>7</v>
      </c>
      <c r="K120" s="7" t="s">
        <v>27</v>
      </c>
      <c r="L120" s="3">
        <v>273</v>
      </c>
      <c r="M120" s="3">
        <v>4</v>
      </c>
      <c r="N120" s="1"/>
      <c r="O120" s="1"/>
      <c r="P120" s="1"/>
    </row>
    <row r="121" spans="1:16" x14ac:dyDescent="0.25">
      <c r="A121" s="9">
        <v>73</v>
      </c>
      <c r="B121" s="3" t="s">
        <v>6</v>
      </c>
      <c r="C121" s="3" t="s">
        <v>153</v>
      </c>
      <c r="D121" s="3" t="s">
        <v>44</v>
      </c>
      <c r="E121" s="7" t="s">
        <v>154</v>
      </c>
      <c r="F121" s="146" t="s">
        <v>612</v>
      </c>
      <c r="G121" s="4" t="s">
        <v>594</v>
      </c>
      <c r="H121" s="7">
        <v>45421</v>
      </c>
      <c r="I121" s="7">
        <v>45454</v>
      </c>
      <c r="J121" s="52">
        <f t="shared" si="11"/>
        <v>34</v>
      </c>
      <c r="K121" s="7" t="s">
        <v>26</v>
      </c>
      <c r="L121" s="3">
        <v>448</v>
      </c>
      <c r="M121" s="3">
        <v>4</v>
      </c>
      <c r="N121" s="1"/>
      <c r="O121" s="1"/>
      <c r="P121" s="1"/>
    </row>
    <row r="122" spans="1:16" x14ac:dyDescent="0.25">
      <c r="A122" s="9">
        <v>72</v>
      </c>
      <c r="B122" s="3" t="s">
        <v>148</v>
      </c>
      <c r="C122" s="3" t="s">
        <v>174</v>
      </c>
      <c r="D122" s="3" t="s">
        <v>392</v>
      </c>
      <c r="E122" s="7" t="s">
        <v>69</v>
      </c>
      <c r="F122" s="146" t="s">
        <v>572</v>
      </c>
      <c r="G122" s="4" t="s">
        <v>579</v>
      </c>
      <c r="H122" s="7">
        <v>45452</v>
      </c>
      <c r="I122" s="7">
        <v>45453</v>
      </c>
      <c r="J122" s="52">
        <f t="shared" si="11"/>
        <v>2</v>
      </c>
      <c r="K122" s="7" t="s">
        <v>26</v>
      </c>
      <c r="L122" s="3">
        <v>148</v>
      </c>
      <c r="M122" s="3">
        <v>5</v>
      </c>
      <c r="N122" s="1"/>
      <c r="O122" s="1"/>
      <c r="P122" s="1"/>
    </row>
    <row r="123" spans="1:16" x14ac:dyDescent="0.25">
      <c r="A123" s="9">
        <v>71</v>
      </c>
      <c r="B123" s="3" t="s">
        <v>148</v>
      </c>
      <c r="C123" s="3" t="s">
        <v>169</v>
      </c>
      <c r="D123" s="3" t="s">
        <v>385</v>
      </c>
      <c r="E123" s="7" t="s">
        <v>69</v>
      </c>
      <c r="F123" s="146" t="s">
        <v>572</v>
      </c>
      <c r="G123" s="4" t="s">
        <v>579</v>
      </c>
      <c r="H123" s="7">
        <v>45439</v>
      </c>
      <c r="I123" s="7">
        <v>45452</v>
      </c>
      <c r="J123" s="52">
        <f t="shared" si="11"/>
        <v>14</v>
      </c>
      <c r="K123" s="7" t="s">
        <v>26</v>
      </c>
      <c r="L123" s="3">
        <v>468</v>
      </c>
      <c r="M123" s="3">
        <v>5</v>
      </c>
      <c r="N123" s="1"/>
      <c r="O123" s="1"/>
      <c r="P123" s="1"/>
    </row>
    <row r="124" spans="1:16" x14ac:dyDescent="0.25">
      <c r="A124" s="9">
        <v>70</v>
      </c>
      <c r="B124" s="3" t="s">
        <v>6</v>
      </c>
      <c r="C124" s="3" t="s">
        <v>170</v>
      </c>
      <c r="D124" s="3" t="s">
        <v>171</v>
      </c>
      <c r="E124" s="7" t="s">
        <v>131</v>
      </c>
      <c r="F124" s="146" t="s">
        <v>598</v>
      </c>
      <c r="G124" s="4" t="s">
        <v>595</v>
      </c>
      <c r="H124" s="7">
        <v>45445</v>
      </c>
      <c r="I124" s="7">
        <v>45450</v>
      </c>
      <c r="J124" s="52">
        <f t="shared" si="11"/>
        <v>6</v>
      </c>
      <c r="K124" s="7" t="s">
        <v>27</v>
      </c>
      <c r="L124" s="3">
        <v>149</v>
      </c>
      <c r="M124" s="3">
        <v>3</v>
      </c>
      <c r="N124" s="1"/>
      <c r="O124" s="1"/>
      <c r="P124" s="1"/>
    </row>
    <row r="125" spans="1:16" x14ac:dyDescent="0.25">
      <c r="A125" s="9">
        <v>69</v>
      </c>
      <c r="B125" s="3" t="s">
        <v>6</v>
      </c>
      <c r="C125" s="3" t="s">
        <v>166</v>
      </c>
      <c r="D125" s="3" t="s">
        <v>167</v>
      </c>
      <c r="E125" s="7" t="s">
        <v>168</v>
      </c>
      <c r="F125" s="146" t="s">
        <v>605</v>
      </c>
      <c r="G125" s="4" t="s">
        <v>575</v>
      </c>
      <c r="H125" s="7">
        <v>45439</v>
      </c>
      <c r="I125" s="7">
        <v>45445</v>
      </c>
      <c r="J125" s="52">
        <f t="shared" si="11"/>
        <v>7</v>
      </c>
      <c r="K125" s="7" t="s">
        <v>27</v>
      </c>
      <c r="L125" s="3">
        <v>108</v>
      </c>
      <c r="M125" s="3">
        <v>3</v>
      </c>
      <c r="N125" s="1"/>
      <c r="O125" s="1"/>
      <c r="P125" s="1"/>
    </row>
    <row r="126" spans="1:16" x14ac:dyDescent="0.25">
      <c r="A126" s="9">
        <v>68</v>
      </c>
      <c r="B126" s="3" t="s">
        <v>148</v>
      </c>
      <c r="C126" s="3" t="s">
        <v>165</v>
      </c>
      <c r="D126" s="3" t="s">
        <v>390</v>
      </c>
      <c r="E126" s="7" t="s">
        <v>69</v>
      </c>
      <c r="F126" s="146" t="s">
        <v>572</v>
      </c>
      <c r="G126" s="4" t="s">
        <v>579</v>
      </c>
      <c r="H126" s="7">
        <v>45436</v>
      </c>
      <c r="I126" s="7">
        <v>45439</v>
      </c>
      <c r="J126" s="52">
        <f t="shared" si="11"/>
        <v>4</v>
      </c>
      <c r="K126" s="7" t="s">
        <v>26</v>
      </c>
      <c r="L126" s="3">
        <v>172</v>
      </c>
      <c r="M126" s="3">
        <v>4</v>
      </c>
      <c r="N126" s="1"/>
      <c r="O126" s="1"/>
      <c r="P126" s="1"/>
    </row>
    <row r="127" spans="1:16" x14ac:dyDescent="0.25">
      <c r="A127" s="9">
        <v>67</v>
      </c>
      <c r="B127" s="3" t="s">
        <v>6</v>
      </c>
      <c r="C127" s="3" t="s">
        <v>163</v>
      </c>
      <c r="D127" s="3" t="s">
        <v>164</v>
      </c>
      <c r="E127" s="7" t="s">
        <v>102</v>
      </c>
      <c r="F127" s="146" t="s">
        <v>600</v>
      </c>
      <c r="G127" s="4" t="s">
        <v>577</v>
      </c>
      <c r="H127" s="7">
        <v>45434</v>
      </c>
      <c r="I127" s="7">
        <v>45439</v>
      </c>
      <c r="J127" s="52">
        <f t="shared" si="11"/>
        <v>6</v>
      </c>
      <c r="K127" s="7" t="s">
        <v>27</v>
      </c>
      <c r="L127" s="3">
        <v>187</v>
      </c>
      <c r="M127" s="3">
        <v>3</v>
      </c>
      <c r="N127" s="1"/>
      <c r="O127" s="1"/>
      <c r="P127" s="1"/>
    </row>
    <row r="128" spans="1:16" x14ac:dyDescent="0.25">
      <c r="A128" s="9">
        <v>66</v>
      </c>
      <c r="B128" s="3" t="s">
        <v>148</v>
      </c>
      <c r="C128" s="3" t="s">
        <v>161</v>
      </c>
      <c r="D128" s="3" t="s">
        <v>370</v>
      </c>
      <c r="E128" s="7" t="s">
        <v>67</v>
      </c>
      <c r="F128" s="146" t="s">
        <v>572</v>
      </c>
      <c r="G128" s="4" t="s">
        <v>579</v>
      </c>
      <c r="H128" s="7">
        <v>45431</v>
      </c>
      <c r="I128" s="7">
        <v>45434</v>
      </c>
      <c r="J128" s="52">
        <f t="shared" si="11"/>
        <v>4</v>
      </c>
      <c r="K128" s="7" t="s">
        <v>26</v>
      </c>
      <c r="L128" s="3">
        <v>164</v>
      </c>
      <c r="M128" s="3">
        <v>4</v>
      </c>
      <c r="N128" s="1"/>
      <c r="O128" s="1"/>
      <c r="P128" s="1"/>
    </row>
    <row r="129" spans="1:16" x14ac:dyDescent="0.25">
      <c r="A129" s="9">
        <v>65</v>
      </c>
      <c r="B129" s="3" t="s">
        <v>6</v>
      </c>
      <c r="C129" s="3" t="s">
        <v>158</v>
      </c>
      <c r="D129" s="3" t="s">
        <v>159</v>
      </c>
      <c r="E129" s="7" t="s">
        <v>160</v>
      </c>
      <c r="F129" s="146" t="s">
        <v>603</v>
      </c>
      <c r="G129" s="4" t="s">
        <v>589</v>
      </c>
      <c r="H129" s="7">
        <v>45427</v>
      </c>
      <c r="I129" s="7">
        <v>45434</v>
      </c>
      <c r="J129" s="52">
        <f t="shared" si="11"/>
        <v>8</v>
      </c>
      <c r="K129" s="7" t="s">
        <v>27</v>
      </c>
      <c r="L129" s="3">
        <v>139</v>
      </c>
      <c r="M129" s="3">
        <v>4</v>
      </c>
      <c r="N129" s="1"/>
      <c r="O129" s="1"/>
      <c r="P129" s="1"/>
    </row>
    <row r="130" spans="1:16" x14ac:dyDescent="0.25">
      <c r="A130" s="9">
        <v>64</v>
      </c>
      <c r="B130" s="3" t="s">
        <v>148</v>
      </c>
      <c r="C130" s="3" t="s">
        <v>157</v>
      </c>
      <c r="D130" s="3" t="s">
        <v>387</v>
      </c>
      <c r="E130" s="7" t="s">
        <v>67</v>
      </c>
      <c r="F130" s="146" t="s">
        <v>572</v>
      </c>
      <c r="G130" s="4" t="s">
        <v>579</v>
      </c>
      <c r="H130" s="7">
        <v>45426</v>
      </c>
      <c r="I130" s="7">
        <v>45431</v>
      </c>
      <c r="J130" s="52">
        <f t="shared" si="11"/>
        <v>6</v>
      </c>
      <c r="K130" s="7" t="s">
        <v>26</v>
      </c>
      <c r="L130" s="3">
        <v>264</v>
      </c>
      <c r="M130" s="3">
        <v>4</v>
      </c>
      <c r="N130" s="1"/>
      <c r="O130" s="1"/>
      <c r="P130" s="1"/>
    </row>
    <row r="131" spans="1:16" x14ac:dyDescent="0.25">
      <c r="A131" s="9">
        <v>63</v>
      </c>
      <c r="B131" s="3" t="s">
        <v>6</v>
      </c>
      <c r="C131" s="3" t="s">
        <v>155</v>
      </c>
      <c r="D131" s="3" t="s">
        <v>36</v>
      </c>
      <c r="E131" s="7" t="s">
        <v>102</v>
      </c>
      <c r="F131" s="146" t="s">
        <v>600</v>
      </c>
      <c r="G131" s="4" t="s">
        <v>577</v>
      </c>
      <c r="H131" s="7">
        <v>45396</v>
      </c>
      <c r="I131" s="7">
        <v>45427</v>
      </c>
      <c r="J131" s="52">
        <f t="shared" si="11"/>
        <v>32</v>
      </c>
      <c r="K131" s="7" t="s">
        <v>27</v>
      </c>
      <c r="L131" s="3">
        <v>155</v>
      </c>
      <c r="M131" s="3">
        <v>4</v>
      </c>
      <c r="N131" s="1"/>
      <c r="O131" s="1"/>
      <c r="P131" s="1"/>
    </row>
    <row r="132" spans="1:16" x14ac:dyDescent="0.25">
      <c r="A132" s="9">
        <v>62</v>
      </c>
      <c r="B132" s="3" t="s">
        <v>6</v>
      </c>
      <c r="C132" s="3" t="s">
        <v>141</v>
      </c>
      <c r="D132" s="3" t="s">
        <v>142</v>
      </c>
      <c r="E132" s="7" t="s">
        <v>143</v>
      </c>
      <c r="F132" s="146" t="s">
        <v>566</v>
      </c>
      <c r="G132" s="4" t="s">
        <v>582</v>
      </c>
      <c r="H132" s="7">
        <v>45406</v>
      </c>
      <c r="I132" s="7">
        <v>45426</v>
      </c>
      <c r="J132" s="52">
        <f t="shared" si="11"/>
        <v>21</v>
      </c>
      <c r="K132" s="7" t="s">
        <v>27</v>
      </c>
      <c r="L132" s="3">
        <v>621</v>
      </c>
      <c r="M132" s="3">
        <v>4</v>
      </c>
      <c r="N132" s="1"/>
      <c r="O132" s="1"/>
      <c r="P132" s="1"/>
    </row>
    <row r="133" spans="1:16" x14ac:dyDescent="0.25">
      <c r="A133" s="9">
        <v>61</v>
      </c>
      <c r="B133" s="3" t="s">
        <v>148</v>
      </c>
      <c r="C133" s="3" t="s">
        <v>149</v>
      </c>
      <c r="D133" s="3" t="s">
        <v>388</v>
      </c>
      <c r="E133" s="7" t="s">
        <v>69</v>
      </c>
      <c r="F133" s="146" t="s">
        <v>572</v>
      </c>
      <c r="G133" s="4" t="s">
        <v>579</v>
      </c>
      <c r="H133" s="7">
        <v>45417</v>
      </c>
      <c r="I133" s="7">
        <v>45421</v>
      </c>
      <c r="J133" s="52">
        <f t="shared" si="11"/>
        <v>5</v>
      </c>
      <c r="K133" s="7" t="s">
        <v>26</v>
      </c>
      <c r="L133" s="3">
        <v>200</v>
      </c>
      <c r="M133" s="3">
        <v>4</v>
      </c>
      <c r="N133" s="1"/>
      <c r="O133" s="1"/>
      <c r="P133" s="1"/>
    </row>
    <row r="134" spans="1:16" x14ac:dyDescent="0.25">
      <c r="A134" s="9">
        <v>60</v>
      </c>
      <c r="B134" s="3" t="s">
        <v>6</v>
      </c>
      <c r="C134" s="3" t="s">
        <v>140</v>
      </c>
      <c r="D134" s="3" t="s">
        <v>116</v>
      </c>
      <c r="E134" s="7" t="s">
        <v>117</v>
      </c>
      <c r="F134" s="146" t="s">
        <v>574</v>
      </c>
      <c r="G134" s="4" t="s">
        <v>575</v>
      </c>
      <c r="H134" s="7">
        <v>45406</v>
      </c>
      <c r="I134" s="7">
        <v>45416</v>
      </c>
      <c r="J134" s="52">
        <f t="shared" si="11"/>
        <v>11</v>
      </c>
      <c r="K134" s="7" t="s">
        <v>26</v>
      </c>
      <c r="L134" s="3">
        <v>472</v>
      </c>
      <c r="M134" s="3">
        <v>5</v>
      </c>
      <c r="N134" s="1"/>
      <c r="O134" s="1"/>
      <c r="P134" s="1"/>
    </row>
    <row r="135" spans="1:16" x14ac:dyDescent="0.25">
      <c r="A135" s="9">
        <v>59</v>
      </c>
      <c r="B135" s="3" t="s">
        <v>6</v>
      </c>
      <c r="C135" s="3" t="s">
        <v>136</v>
      </c>
      <c r="D135" s="3" t="s">
        <v>137</v>
      </c>
      <c r="E135" s="7" t="s">
        <v>131</v>
      </c>
      <c r="F135" s="146" t="s">
        <v>614</v>
      </c>
      <c r="G135" s="4" t="s">
        <v>579</v>
      </c>
      <c r="H135" s="7">
        <v>45381</v>
      </c>
      <c r="I135" s="7">
        <v>45405</v>
      </c>
      <c r="J135" s="52">
        <f t="shared" si="11"/>
        <v>25</v>
      </c>
      <c r="K135" s="7" t="s">
        <v>27</v>
      </c>
      <c r="L135" s="3">
        <v>488</v>
      </c>
      <c r="M135" s="3">
        <v>5</v>
      </c>
      <c r="N135" s="1"/>
      <c r="O135" s="1"/>
      <c r="P135" s="1"/>
    </row>
    <row r="136" spans="1:16" x14ac:dyDescent="0.25">
      <c r="A136" s="9">
        <v>58</v>
      </c>
      <c r="B136" s="3" t="s">
        <v>6</v>
      </c>
      <c r="C136" s="3" t="s">
        <v>134</v>
      </c>
      <c r="D136" s="3" t="s">
        <v>135</v>
      </c>
      <c r="E136" s="7" t="s">
        <v>131</v>
      </c>
      <c r="F136" s="146" t="s">
        <v>615</v>
      </c>
      <c r="G136" s="4" t="s">
        <v>575</v>
      </c>
      <c r="H136" s="7">
        <v>45378</v>
      </c>
      <c r="I136" s="7">
        <v>45380</v>
      </c>
      <c r="J136" s="52">
        <f t="shared" si="11"/>
        <v>3</v>
      </c>
      <c r="K136" s="7" t="s">
        <v>27</v>
      </c>
      <c r="L136" s="3">
        <v>150</v>
      </c>
      <c r="M136" s="3">
        <v>4</v>
      </c>
      <c r="N136" s="1"/>
      <c r="O136" s="1"/>
      <c r="P136" s="1"/>
    </row>
    <row r="137" spans="1:16" x14ac:dyDescent="0.25">
      <c r="A137" s="9">
        <v>57</v>
      </c>
      <c r="B137" s="3" t="s">
        <v>6</v>
      </c>
      <c r="C137" s="3" t="s">
        <v>272</v>
      </c>
      <c r="D137" s="3" t="s">
        <v>132</v>
      </c>
      <c r="E137" s="7" t="s">
        <v>133</v>
      </c>
      <c r="F137" s="146" t="s">
        <v>603</v>
      </c>
      <c r="G137" s="4" t="s">
        <v>582</v>
      </c>
      <c r="H137" s="7">
        <v>45370</v>
      </c>
      <c r="I137" s="7">
        <v>45377</v>
      </c>
      <c r="J137" s="52">
        <f t="shared" si="11"/>
        <v>8</v>
      </c>
      <c r="K137" s="7" t="s">
        <v>26</v>
      </c>
      <c r="L137" s="3">
        <v>124</v>
      </c>
      <c r="M137" s="3">
        <v>4</v>
      </c>
      <c r="N137" s="1"/>
      <c r="O137" s="1"/>
      <c r="P137" s="1"/>
    </row>
    <row r="138" spans="1:16" x14ac:dyDescent="0.25">
      <c r="A138" s="9">
        <v>56</v>
      </c>
      <c r="B138" s="3" t="s">
        <v>6</v>
      </c>
      <c r="C138" s="3" t="s">
        <v>129</v>
      </c>
      <c r="D138" s="3" t="s">
        <v>130</v>
      </c>
      <c r="E138" s="7" t="s">
        <v>131</v>
      </c>
      <c r="F138" s="146" t="s">
        <v>603</v>
      </c>
      <c r="G138" s="4" t="s">
        <v>577</v>
      </c>
      <c r="H138" s="7">
        <v>45357</v>
      </c>
      <c r="I138" s="7">
        <v>45369</v>
      </c>
      <c r="J138" s="52">
        <f t="shared" si="11"/>
        <v>13</v>
      </c>
      <c r="K138" s="7" t="s">
        <v>27</v>
      </c>
      <c r="L138" s="3">
        <v>208</v>
      </c>
      <c r="M138" s="3">
        <v>4</v>
      </c>
      <c r="N138" s="1"/>
      <c r="O138" s="1"/>
      <c r="P138" s="1"/>
    </row>
    <row r="139" spans="1:16" x14ac:dyDescent="0.25">
      <c r="A139" s="9">
        <v>55</v>
      </c>
      <c r="B139" s="3" t="s">
        <v>6</v>
      </c>
      <c r="C139" s="3" t="s">
        <v>348</v>
      </c>
      <c r="D139" s="3" t="s">
        <v>128</v>
      </c>
      <c r="E139" s="7" t="s">
        <v>226</v>
      </c>
      <c r="F139" s="146" t="s">
        <v>603</v>
      </c>
      <c r="G139" s="4" t="s">
        <v>579</v>
      </c>
      <c r="H139" s="7">
        <v>45323</v>
      </c>
      <c r="I139" s="7">
        <v>45356</v>
      </c>
      <c r="J139" s="52">
        <f t="shared" si="11"/>
        <v>34</v>
      </c>
      <c r="K139" s="7" t="s">
        <v>27</v>
      </c>
      <c r="L139" s="3">
        <v>384</v>
      </c>
      <c r="M139" s="3">
        <v>4</v>
      </c>
      <c r="N139" s="1"/>
      <c r="O139" s="1"/>
      <c r="P139" s="1"/>
    </row>
    <row r="140" spans="1:16" x14ac:dyDescent="0.25">
      <c r="A140" s="9">
        <v>54</v>
      </c>
      <c r="B140" s="3" t="s">
        <v>6</v>
      </c>
      <c r="C140" s="3" t="s">
        <v>127</v>
      </c>
      <c r="D140" s="3" t="s">
        <v>391</v>
      </c>
      <c r="E140" s="7" t="s">
        <v>263</v>
      </c>
      <c r="F140" s="146" t="s">
        <v>603</v>
      </c>
      <c r="G140" s="4" t="s">
        <v>577</v>
      </c>
      <c r="H140" s="7">
        <v>45311</v>
      </c>
      <c r="I140" s="7">
        <v>45321</v>
      </c>
      <c r="J140" s="52">
        <f t="shared" si="11"/>
        <v>11</v>
      </c>
      <c r="K140" s="7" t="s">
        <v>27</v>
      </c>
      <c r="L140" s="3">
        <v>132</v>
      </c>
      <c r="M140" s="3">
        <v>4</v>
      </c>
      <c r="N140" s="1"/>
      <c r="O140" s="1"/>
      <c r="P140" s="1"/>
    </row>
    <row r="141" spans="1:16" x14ac:dyDescent="0.25">
      <c r="A141" s="9">
        <v>53</v>
      </c>
      <c r="B141" s="3" t="s">
        <v>6</v>
      </c>
      <c r="C141" s="3" t="s">
        <v>125</v>
      </c>
      <c r="D141" s="3" t="s">
        <v>126</v>
      </c>
      <c r="E141" s="7" t="s">
        <v>156</v>
      </c>
      <c r="F141" s="146" t="s">
        <v>569</v>
      </c>
      <c r="G141" s="4" t="s">
        <v>579</v>
      </c>
      <c r="H141" s="7">
        <v>44615</v>
      </c>
      <c r="I141" s="7">
        <v>44616</v>
      </c>
      <c r="J141" s="52">
        <f t="shared" si="11"/>
        <v>2</v>
      </c>
      <c r="K141" s="7" t="s">
        <v>26</v>
      </c>
      <c r="L141" s="3">
        <v>112</v>
      </c>
      <c r="M141" s="3">
        <v>3</v>
      </c>
      <c r="N141" s="1"/>
      <c r="O141" s="1"/>
      <c r="P141" s="1"/>
    </row>
    <row r="142" spans="1:16" x14ac:dyDescent="0.25">
      <c r="A142" s="9">
        <v>52</v>
      </c>
      <c r="B142" s="3" t="s">
        <v>6</v>
      </c>
      <c r="C142" s="3" t="s">
        <v>124</v>
      </c>
      <c r="D142" s="3" t="s">
        <v>116</v>
      </c>
      <c r="E142" s="7" t="s">
        <v>117</v>
      </c>
      <c r="F142" s="146" t="s">
        <v>574</v>
      </c>
      <c r="G142" s="4" t="s">
        <v>575</v>
      </c>
      <c r="H142" s="7">
        <v>44612</v>
      </c>
      <c r="I142" s="7">
        <v>44615</v>
      </c>
      <c r="J142" s="52">
        <f t="shared" si="11"/>
        <v>4</v>
      </c>
      <c r="K142" s="7" t="s">
        <v>26</v>
      </c>
      <c r="L142" s="3">
        <v>400</v>
      </c>
      <c r="M142" s="3">
        <v>4</v>
      </c>
      <c r="N142" s="1"/>
      <c r="O142" s="1"/>
      <c r="P142" s="1"/>
    </row>
    <row r="143" spans="1:16" x14ac:dyDescent="0.25">
      <c r="A143" s="9">
        <v>51</v>
      </c>
      <c r="B143" s="3" t="s">
        <v>6</v>
      </c>
      <c r="C143" s="3" t="s">
        <v>121</v>
      </c>
      <c r="D143" s="3" t="s">
        <v>122</v>
      </c>
      <c r="E143" s="7" t="s">
        <v>123</v>
      </c>
      <c r="F143" s="146" t="s">
        <v>630</v>
      </c>
      <c r="G143" s="4" t="s">
        <v>596</v>
      </c>
      <c r="H143" s="7">
        <v>44587</v>
      </c>
      <c r="I143" s="7">
        <v>44611</v>
      </c>
      <c r="J143" s="52">
        <f t="shared" si="11"/>
        <v>25</v>
      </c>
      <c r="K143" s="7" t="s">
        <v>26</v>
      </c>
      <c r="L143" s="3">
        <v>160</v>
      </c>
      <c r="M143" s="3">
        <v>4</v>
      </c>
      <c r="N143" s="1"/>
      <c r="O143" s="1"/>
      <c r="P143" s="1"/>
    </row>
    <row r="144" spans="1:16" x14ac:dyDescent="0.25">
      <c r="A144" s="9">
        <v>50</v>
      </c>
      <c r="B144" s="3" t="s">
        <v>6</v>
      </c>
      <c r="C144" s="3" t="s">
        <v>118</v>
      </c>
      <c r="D144" s="3" t="s">
        <v>119</v>
      </c>
      <c r="E144" s="7" t="s">
        <v>120</v>
      </c>
      <c r="F144" s="146" t="s">
        <v>571</v>
      </c>
      <c r="G144" s="4" t="s">
        <v>579</v>
      </c>
      <c r="H144" s="7">
        <v>44580</v>
      </c>
      <c r="I144" s="7">
        <v>44586</v>
      </c>
      <c r="J144" s="52">
        <f t="shared" si="11"/>
        <v>7</v>
      </c>
      <c r="K144" s="7" t="s">
        <v>26</v>
      </c>
      <c r="L144" s="3">
        <v>407</v>
      </c>
      <c r="M144" s="3">
        <v>4</v>
      </c>
      <c r="N144" s="1"/>
      <c r="O144" s="1"/>
      <c r="P144" s="1"/>
    </row>
    <row r="145" spans="1:16" x14ac:dyDescent="0.25">
      <c r="A145" s="9">
        <v>49</v>
      </c>
      <c r="B145" s="3" t="s">
        <v>6</v>
      </c>
      <c r="C145" s="3" t="s">
        <v>5</v>
      </c>
      <c r="D145" s="3" t="s">
        <v>116</v>
      </c>
      <c r="E145" s="7" t="s">
        <v>117</v>
      </c>
      <c r="F145" s="146" t="s">
        <v>574</v>
      </c>
      <c r="G145" s="4" t="s">
        <v>575</v>
      </c>
      <c r="H145" s="7">
        <v>44574</v>
      </c>
      <c r="I145" s="7">
        <v>44579</v>
      </c>
      <c r="J145" s="52">
        <f t="shared" si="11"/>
        <v>6</v>
      </c>
      <c r="K145" s="7" t="s">
        <v>26</v>
      </c>
      <c r="L145" s="3">
        <v>368</v>
      </c>
      <c r="M145" s="3">
        <v>5</v>
      </c>
      <c r="N145" s="1"/>
      <c r="O145" s="1"/>
      <c r="P145" s="1"/>
    </row>
    <row r="146" spans="1:16" x14ac:dyDescent="0.25">
      <c r="A146" s="9">
        <v>48</v>
      </c>
      <c r="B146" s="3" t="s">
        <v>6</v>
      </c>
      <c r="C146" s="3" t="s">
        <v>113</v>
      </c>
      <c r="D146" s="3" t="s">
        <v>114</v>
      </c>
      <c r="E146" s="7" t="s">
        <v>115</v>
      </c>
      <c r="F146" s="146" t="s">
        <v>610</v>
      </c>
      <c r="G146" s="4" t="s">
        <v>597</v>
      </c>
      <c r="H146" s="7">
        <v>44564</v>
      </c>
      <c r="I146" s="7">
        <v>44573</v>
      </c>
      <c r="J146" s="52">
        <f t="shared" si="11"/>
        <v>10</v>
      </c>
      <c r="K146" s="7" t="s">
        <v>26</v>
      </c>
      <c r="L146" s="3">
        <v>462</v>
      </c>
      <c r="M146" s="3">
        <v>3</v>
      </c>
      <c r="N146" s="1"/>
      <c r="O146" s="1"/>
      <c r="P146" s="1"/>
    </row>
    <row r="147" spans="1:16" x14ac:dyDescent="0.25">
      <c r="A147" s="9">
        <v>47</v>
      </c>
      <c r="B147" s="3" t="s">
        <v>6</v>
      </c>
      <c r="C147" s="3" t="s">
        <v>111</v>
      </c>
      <c r="D147" s="3" t="s">
        <v>112</v>
      </c>
      <c r="E147" s="7" t="s">
        <v>34</v>
      </c>
      <c r="F147" s="146" t="s">
        <v>616</v>
      </c>
      <c r="G147" s="4" t="s">
        <v>579</v>
      </c>
      <c r="H147" s="7">
        <v>44550</v>
      </c>
      <c r="I147" s="7">
        <v>44563</v>
      </c>
      <c r="J147" s="52">
        <f t="shared" si="11"/>
        <v>14</v>
      </c>
      <c r="K147" s="7" t="s">
        <v>26</v>
      </c>
      <c r="L147" s="3">
        <v>256</v>
      </c>
      <c r="M147" s="3">
        <v>4</v>
      </c>
      <c r="N147" s="1"/>
      <c r="O147" s="1"/>
      <c r="P147" s="1"/>
    </row>
    <row r="148" spans="1:16" x14ac:dyDescent="0.25">
      <c r="A148" s="9">
        <v>46</v>
      </c>
      <c r="B148" s="3" t="s">
        <v>6</v>
      </c>
      <c r="C148" s="3" t="s">
        <v>109</v>
      </c>
      <c r="D148" s="3" t="s">
        <v>110</v>
      </c>
      <c r="E148" s="7" t="s">
        <v>226</v>
      </c>
      <c r="F148" s="146" t="s">
        <v>607</v>
      </c>
      <c r="G148" s="4" t="s">
        <v>575</v>
      </c>
      <c r="H148" s="7">
        <v>44501</v>
      </c>
      <c r="I148" s="7">
        <v>44515</v>
      </c>
      <c r="J148" s="52">
        <f t="shared" si="11"/>
        <v>15</v>
      </c>
      <c r="K148" s="7" t="s">
        <v>26</v>
      </c>
      <c r="L148" s="3">
        <v>352</v>
      </c>
      <c r="M148" s="3">
        <v>4</v>
      </c>
      <c r="N148" s="1"/>
      <c r="O148" s="1"/>
      <c r="P148" s="1"/>
    </row>
    <row r="149" spans="1:16" x14ac:dyDescent="0.25">
      <c r="A149" s="9">
        <v>45</v>
      </c>
      <c r="B149" s="3" t="s">
        <v>6</v>
      </c>
      <c r="C149" s="3" t="s">
        <v>106</v>
      </c>
      <c r="D149" s="3" t="s">
        <v>107</v>
      </c>
      <c r="E149" s="7" t="s">
        <v>108</v>
      </c>
      <c r="F149" s="146" t="s">
        <v>610</v>
      </c>
      <c r="G149" s="4" t="s">
        <v>575</v>
      </c>
      <c r="H149" s="7">
        <v>43772</v>
      </c>
      <c r="I149" s="7">
        <v>43786</v>
      </c>
      <c r="J149" s="52">
        <f t="shared" ref="J149:J180" si="12">IF(I149="", "", I149 - H149 + 1)</f>
        <v>15</v>
      </c>
      <c r="K149" s="7" t="s">
        <v>27</v>
      </c>
      <c r="L149" s="3">
        <v>200</v>
      </c>
      <c r="M149" s="3">
        <v>3</v>
      </c>
      <c r="N149" s="1"/>
      <c r="O149" s="1"/>
      <c r="P149" s="1"/>
    </row>
    <row r="150" spans="1:16" x14ac:dyDescent="0.25">
      <c r="A150" s="9">
        <v>44</v>
      </c>
      <c r="B150" s="3" t="s">
        <v>6</v>
      </c>
      <c r="C150" s="3" t="s">
        <v>103</v>
      </c>
      <c r="D150" s="3" t="s">
        <v>104</v>
      </c>
      <c r="E150" s="7" t="s">
        <v>105</v>
      </c>
      <c r="F150" s="146" t="s">
        <v>610</v>
      </c>
      <c r="G150" s="4" t="s">
        <v>579</v>
      </c>
      <c r="H150" s="7">
        <v>43756</v>
      </c>
      <c r="I150" s="7">
        <v>43771</v>
      </c>
      <c r="J150" s="52">
        <f t="shared" si="12"/>
        <v>16</v>
      </c>
      <c r="K150" s="7" t="s">
        <v>27</v>
      </c>
      <c r="L150" s="3">
        <v>255</v>
      </c>
      <c r="M150" s="3">
        <v>3</v>
      </c>
      <c r="N150" s="1"/>
      <c r="O150" s="1"/>
      <c r="P150" s="1"/>
    </row>
    <row r="151" spans="1:16" x14ac:dyDescent="0.25">
      <c r="A151" s="9">
        <v>43</v>
      </c>
      <c r="B151" s="3" t="s">
        <v>6</v>
      </c>
      <c r="C151" s="3" t="s">
        <v>101</v>
      </c>
      <c r="D151" s="3" t="s">
        <v>36</v>
      </c>
      <c r="E151" s="7" t="s">
        <v>102</v>
      </c>
      <c r="F151" s="146" t="s">
        <v>600</v>
      </c>
      <c r="G151" s="4" t="s">
        <v>577</v>
      </c>
      <c r="H151" s="7">
        <v>43741</v>
      </c>
      <c r="I151" s="7">
        <v>43755</v>
      </c>
      <c r="J151" s="52">
        <f t="shared" si="12"/>
        <v>15</v>
      </c>
      <c r="K151" s="7" t="s">
        <v>27</v>
      </c>
      <c r="L151" s="3">
        <v>176</v>
      </c>
      <c r="M151" s="3">
        <v>4</v>
      </c>
      <c r="N151" s="1"/>
      <c r="O151" s="1"/>
      <c r="P151" s="1"/>
    </row>
    <row r="152" spans="1:16" x14ac:dyDescent="0.25">
      <c r="A152" s="9">
        <v>42</v>
      </c>
      <c r="B152" s="3" t="s">
        <v>6</v>
      </c>
      <c r="C152" s="3" t="s">
        <v>98</v>
      </c>
      <c r="D152" s="3" t="s">
        <v>99</v>
      </c>
      <c r="E152" s="7" t="s">
        <v>100</v>
      </c>
      <c r="F152" s="146" t="s">
        <v>571</v>
      </c>
      <c r="G152" s="4" t="s">
        <v>579</v>
      </c>
      <c r="H152" s="7">
        <v>43726</v>
      </c>
      <c r="I152" s="7">
        <v>43740</v>
      </c>
      <c r="J152" s="52">
        <f t="shared" si="12"/>
        <v>15</v>
      </c>
      <c r="K152" s="7" t="s">
        <v>27</v>
      </c>
      <c r="L152" s="3">
        <v>312</v>
      </c>
      <c r="M152" s="3">
        <v>4</v>
      </c>
      <c r="N152" s="1"/>
      <c r="O152" s="1"/>
      <c r="P152" s="1"/>
    </row>
    <row r="153" spans="1:16" x14ac:dyDescent="0.25">
      <c r="A153" s="9">
        <v>41</v>
      </c>
      <c r="B153" s="3" t="s">
        <v>6</v>
      </c>
      <c r="C153" s="3" t="s">
        <v>95</v>
      </c>
      <c r="D153" s="3" t="s">
        <v>96</v>
      </c>
      <c r="E153" s="7" t="s">
        <v>97</v>
      </c>
      <c r="F153" s="146" t="s">
        <v>569</v>
      </c>
      <c r="G153" s="4" t="s">
        <v>579</v>
      </c>
      <c r="H153" s="7">
        <v>43711</v>
      </c>
      <c r="I153" s="7">
        <v>43725</v>
      </c>
      <c r="J153" s="52">
        <f t="shared" si="12"/>
        <v>15</v>
      </c>
      <c r="K153" s="7" t="s">
        <v>27</v>
      </c>
      <c r="L153" s="3">
        <v>224</v>
      </c>
      <c r="M153" s="3">
        <v>4</v>
      </c>
      <c r="N153" s="1"/>
      <c r="O153" s="1"/>
      <c r="P153" s="1"/>
    </row>
    <row r="154" spans="1:16" x14ac:dyDescent="0.25">
      <c r="A154" s="9">
        <v>40</v>
      </c>
      <c r="B154" s="3" t="s">
        <v>6</v>
      </c>
      <c r="C154" s="3" t="s">
        <v>92</v>
      </c>
      <c r="D154" s="3" t="s">
        <v>93</v>
      </c>
      <c r="E154" s="7" t="s">
        <v>94</v>
      </c>
      <c r="F154" s="146" t="s">
        <v>566</v>
      </c>
      <c r="G154" s="4" t="s">
        <v>577</v>
      </c>
      <c r="H154" s="7">
        <v>43695</v>
      </c>
      <c r="I154" s="7">
        <v>43710</v>
      </c>
      <c r="J154" s="52">
        <f t="shared" si="12"/>
        <v>16</v>
      </c>
      <c r="K154" s="7" t="s">
        <v>27</v>
      </c>
      <c r="L154" s="3">
        <v>304</v>
      </c>
      <c r="M154" s="3">
        <v>4</v>
      </c>
      <c r="N154" s="1"/>
      <c r="O154" s="1"/>
      <c r="P154" s="1"/>
    </row>
    <row r="155" spans="1:16" x14ac:dyDescent="0.25">
      <c r="A155" s="9">
        <v>39</v>
      </c>
      <c r="B155" s="3" t="s">
        <v>6</v>
      </c>
      <c r="C155" s="3" t="s">
        <v>90</v>
      </c>
      <c r="D155" s="3" t="s">
        <v>91</v>
      </c>
      <c r="E155" s="7" t="s">
        <v>156</v>
      </c>
      <c r="F155" s="146" t="s">
        <v>600</v>
      </c>
      <c r="G155" s="4" t="s">
        <v>577</v>
      </c>
      <c r="H155" s="7">
        <v>43687</v>
      </c>
      <c r="I155" s="7">
        <v>43694</v>
      </c>
      <c r="J155" s="52">
        <f t="shared" si="12"/>
        <v>8</v>
      </c>
      <c r="K155" s="7" t="s">
        <v>27</v>
      </c>
      <c r="L155" s="3">
        <v>616</v>
      </c>
      <c r="M155" s="3">
        <v>2</v>
      </c>
      <c r="N155" s="1"/>
      <c r="O155" s="1"/>
      <c r="P155" s="1"/>
    </row>
    <row r="156" spans="1:16" x14ac:dyDescent="0.25">
      <c r="A156" s="9">
        <v>38</v>
      </c>
      <c r="B156" s="3" t="s">
        <v>6</v>
      </c>
      <c r="C156" s="3" t="s">
        <v>87</v>
      </c>
      <c r="D156" s="3" t="s">
        <v>88</v>
      </c>
      <c r="E156" s="7" t="s">
        <v>89</v>
      </c>
      <c r="F156" s="146" t="s">
        <v>612</v>
      </c>
      <c r="G156" s="4" t="s">
        <v>577</v>
      </c>
      <c r="H156" s="7">
        <v>42867</v>
      </c>
      <c r="I156" s="7">
        <v>42870</v>
      </c>
      <c r="J156" s="52">
        <f t="shared" si="12"/>
        <v>4</v>
      </c>
      <c r="K156" s="7" t="s">
        <v>26</v>
      </c>
      <c r="L156" s="3">
        <v>168</v>
      </c>
      <c r="M156" s="3">
        <v>3</v>
      </c>
      <c r="N156" s="1"/>
      <c r="O156" s="1"/>
      <c r="P156" s="1"/>
    </row>
    <row r="157" spans="1:16" x14ac:dyDescent="0.25">
      <c r="A157" s="9">
        <v>37</v>
      </c>
      <c r="B157" s="3" t="s">
        <v>6</v>
      </c>
      <c r="C157" s="3" t="s">
        <v>85</v>
      </c>
      <c r="D157" s="3" t="s">
        <v>86</v>
      </c>
      <c r="E157" s="7" t="s">
        <v>247</v>
      </c>
      <c r="F157" s="146" t="s">
        <v>571</v>
      </c>
      <c r="G157" s="4" t="s">
        <v>577</v>
      </c>
      <c r="H157" s="7">
        <v>42865</v>
      </c>
      <c r="I157" s="7">
        <v>42866</v>
      </c>
      <c r="J157" s="52">
        <f t="shared" si="12"/>
        <v>2</v>
      </c>
      <c r="K157" s="7" t="s">
        <v>26</v>
      </c>
      <c r="L157" s="3">
        <v>144</v>
      </c>
      <c r="M157" s="3">
        <v>5</v>
      </c>
      <c r="N157" s="1"/>
      <c r="O157" s="1"/>
      <c r="P157" s="1"/>
    </row>
    <row r="158" spans="1:16" x14ac:dyDescent="0.25">
      <c r="A158" s="9">
        <v>36</v>
      </c>
      <c r="B158" s="3" t="s">
        <v>6</v>
      </c>
      <c r="C158" s="3" t="s">
        <v>82</v>
      </c>
      <c r="D158" s="3" t="s">
        <v>83</v>
      </c>
      <c r="E158" s="7" t="s">
        <v>84</v>
      </c>
      <c r="F158" s="146" t="s">
        <v>631</v>
      </c>
      <c r="G158" s="4" t="s">
        <v>582</v>
      </c>
      <c r="H158" s="7">
        <v>42850</v>
      </c>
      <c r="I158" s="7">
        <v>42851</v>
      </c>
      <c r="J158" s="52">
        <f t="shared" si="12"/>
        <v>2</v>
      </c>
      <c r="K158" s="7" t="s">
        <v>26</v>
      </c>
      <c r="L158" s="3">
        <v>96</v>
      </c>
      <c r="M158" s="3">
        <v>5</v>
      </c>
      <c r="N158" s="1"/>
      <c r="O158" s="1"/>
      <c r="P158" s="1"/>
    </row>
    <row r="159" spans="1:16" x14ac:dyDescent="0.25">
      <c r="A159" s="9">
        <v>35</v>
      </c>
      <c r="B159" s="3" t="s">
        <v>148</v>
      </c>
      <c r="C159" s="3" t="s">
        <v>81</v>
      </c>
      <c r="D159" s="3" t="s">
        <v>371</v>
      </c>
      <c r="E159" s="7" t="s">
        <v>69</v>
      </c>
      <c r="F159" s="146" t="s">
        <v>572</v>
      </c>
      <c r="G159" s="4" t="s">
        <v>579</v>
      </c>
      <c r="H159" s="7">
        <v>42745</v>
      </c>
      <c r="I159" s="7">
        <v>42750</v>
      </c>
      <c r="J159" s="52">
        <f t="shared" si="12"/>
        <v>6</v>
      </c>
      <c r="K159" s="7" t="s">
        <v>26</v>
      </c>
      <c r="L159" s="3">
        <v>82</v>
      </c>
      <c r="M159" s="3">
        <v>4</v>
      </c>
      <c r="N159" s="1"/>
      <c r="O159" s="1"/>
      <c r="P159" s="1"/>
    </row>
    <row r="160" spans="1:16" x14ac:dyDescent="0.25">
      <c r="A160" s="9">
        <v>34</v>
      </c>
      <c r="B160" s="3" t="s">
        <v>148</v>
      </c>
      <c r="C160" s="3" t="s">
        <v>79</v>
      </c>
      <c r="D160" s="3" t="s">
        <v>80</v>
      </c>
      <c r="E160" s="7" t="s">
        <v>69</v>
      </c>
      <c r="F160" s="146" t="s">
        <v>572</v>
      </c>
      <c r="G160" s="4" t="s">
        <v>579</v>
      </c>
      <c r="H160" s="7">
        <v>42690</v>
      </c>
      <c r="I160" s="7">
        <v>42702</v>
      </c>
      <c r="J160" s="52">
        <f t="shared" si="12"/>
        <v>13</v>
      </c>
      <c r="K160" s="7" t="s">
        <v>26</v>
      </c>
      <c r="L160" s="3">
        <v>352</v>
      </c>
      <c r="M160" s="3">
        <v>3</v>
      </c>
      <c r="N160" s="1"/>
      <c r="O160" s="1"/>
      <c r="P160" s="1"/>
    </row>
    <row r="161" spans="1:16" x14ac:dyDescent="0.25">
      <c r="A161" s="9">
        <v>33</v>
      </c>
      <c r="B161" s="3" t="s">
        <v>148</v>
      </c>
      <c r="C161" s="3" t="s">
        <v>77</v>
      </c>
      <c r="D161" s="3" t="s">
        <v>386</v>
      </c>
      <c r="E161" s="7" t="s">
        <v>78</v>
      </c>
      <c r="F161" s="146" t="s">
        <v>572</v>
      </c>
      <c r="G161" s="4" t="s">
        <v>579</v>
      </c>
      <c r="H161" s="7">
        <v>42684</v>
      </c>
      <c r="I161" s="7">
        <v>42689</v>
      </c>
      <c r="J161" s="52">
        <f t="shared" si="12"/>
        <v>6</v>
      </c>
      <c r="K161" s="7" t="s">
        <v>26</v>
      </c>
      <c r="L161" s="3">
        <v>160</v>
      </c>
      <c r="M161" s="3">
        <v>4</v>
      </c>
      <c r="N161" s="1"/>
      <c r="O161" s="1"/>
      <c r="P161" s="1"/>
    </row>
    <row r="162" spans="1:16" x14ac:dyDescent="0.25">
      <c r="A162" s="9">
        <v>32</v>
      </c>
      <c r="B162" s="3" t="s">
        <v>148</v>
      </c>
      <c r="C162" s="3" t="s">
        <v>76</v>
      </c>
      <c r="D162" s="3" t="s">
        <v>372</v>
      </c>
      <c r="E162" s="7" t="s">
        <v>69</v>
      </c>
      <c r="F162" s="146" t="s">
        <v>572</v>
      </c>
      <c r="G162" s="4" t="s">
        <v>579</v>
      </c>
      <c r="H162" s="7">
        <v>42629</v>
      </c>
      <c r="I162" s="7">
        <v>42644</v>
      </c>
      <c r="J162" s="52">
        <f t="shared" si="12"/>
        <v>16</v>
      </c>
      <c r="K162" s="7" t="s">
        <v>26</v>
      </c>
      <c r="L162" s="3">
        <v>100</v>
      </c>
      <c r="M162" s="3">
        <v>4</v>
      </c>
      <c r="N162" s="1"/>
      <c r="O162" s="1"/>
      <c r="P162" s="1"/>
    </row>
    <row r="163" spans="1:16" x14ac:dyDescent="0.25">
      <c r="A163" s="9">
        <v>31</v>
      </c>
      <c r="B163" s="3" t="s">
        <v>148</v>
      </c>
      <c r="C163" s="3" t="s">
        <v>75</v>
      </c>
      <c r="D163" s="3" t="s">
        <v>373</v>
      </c>
      <c r="E163" s="7" t="s">
        <v>69</v>
      </c>
      <c r="F163" s="146" t="s">
        <v>572</v>
      </c>
      <c r="G163" s="4" t="s">
        <v>579</v>
      </c>
      <c r="H163" s="7">
        <v>42615</v>
      </c>
      <c r="I163" s="7">
        <v>42628</v>
      </c>
      <c r="J163" s="52">
        <f t="shared" si="12"/>
        <v>14</v>
      </c>
      <c r="K163" s="7" t="s">
        <v>26</v>
      </c>
      <c r="L163" s="3">
        <v>136</v>
      </c>
      <c r="M163" s="3">
        <v>4</v>
      </c>
      <c r="N163" s="1"/>
      <c r="O163" s="1"/>
      <c r="P163" s="1"/>
    </row>
    <row r="164" spans="1:16" x14ac:dyDescent="0.25">
      <c r="A164" s="9">
        <v>30</v>
      </c>
      <c r="B164" s="3" t="s">
        <v>148</v>
      </c>
      <c r="C164" s="3" t="s">
        <v>74</v>
      </c>
      <c r="D164" s="3" t="s">
        <v>373</v>
      </c>
      <c r="E164" s="7" t="s">
        <v>69</v>
      </c>
      <c r="F164" s="146" t="s">
        <v>572</v>
      </c>
      <c r="G164" s="4" t="s">
        <v>579</v>
      </c>
      <c r="H164" s="7">
        <v>42607</v>
      </c>
      <c r="I164" s="7">
        <v>42614</v>
      </c>
      <c r="J164" s="52">
        <f t="shared" si="12"/>
        <v>8</v>
      </c>
      <c r="K164" s="7" t="s">
        <v>26</v>
      </c>
      <c r="L164" s="3">
        <v>132</v>
      </c>
      <c r="M164" s="3">
        <v>4</v>
      </c>
      <c r="N164" s="1"/>
      <c r="O164" s="1"/>
      <c r="P164" s="1"/>
    </row>
    <row r="165" spans="1:16" x14ac:dyDescent="0.25">
      <c r="A165" s="9">
        <v>29</v>
      </c>
      <c r="B165" s="3" t="s">
        <v>148</v>
      </c>
      <c r="C165" s="3" t="s">
        <v>73</v>
      </c>
      <c r="D165" s="3" t="s">
        <v>374</v>
      </c>
      <c r="E165" s="7" t="s">
        <v>69</v>
      </c>
      <c r="F165" s="146" t="s">
        <v>572</v>
      </c>
      <c r="G165" s="4" t="s">
        <v>579</v>
      </c>
      <c r="H165" s="7">
        <v>42567</v>
      </c>
      <c r="I165" s="7">
        <v>42583</v>
      </c>
      <c r="J165" s="52">
        <f t="shared" si="12"/>
        <v>17</v>
      </c>
      <c r="K165" s="7" t="s">
        <v>26</v>
      </c>
      <c r="L165" s="3">
        <v>340</v>
      </c>
      <c r="M165" s="3">
        <v>5</v>
      </c>
      <c r="N165" s="1"/>
      <c r="O165" s="1"/>
      <c r="P165" s="1"/>
    </row>
    <row r="166" spans="1:16" x14ac:dyDescent="0.25">
      <c r="A166" s="9">
        <v>28</v>
      </c>
      <c r="B166" s="3" t="s">
        <v>148</v>
      </c>
      <c r="C166" s="3" t="s">
        <v>72</v>
      </c>
      <c r="D166" s="3" t="s">
        <v>399</v>
      </c>
      <c r="E166" s="7" t="s">
        <v>69</v>
      </c>
      <c r="F166" s="146" t="s">
        <v>572</v>
      </c>
      <c r="G166" s="4" t="s">
        <v>579</v>
      </c>
      <c r="H166" s="7">
        <v>42553</v>
      </c>
      <c r="I166" s="7">
        <v>42566</v>
      </c>
      <c r="J166" s="52">
        <f t="shared" si="12"/>
        <v>14</v>
      </c>
      <c r="K166" s="7" t="s">
        <v>26</v>
      </c>
      <c r="L166" s="3">
        <v>132</v>
      </c>
      <c r="M166" s="3">
        <v>3</v>
      </c>
      <c r="N166" s="1"/>
      <c r="O166" s="1"/>
      <c r="P166" s="1"/>
    </row>
    <row r="167" spans="1:16" x14ac:dyDescent="0.25">
      <c r="A167" s="9">
        <v>27</v>
      </c>
      <c r="B167" s="3" t="s">
        <v>148</v>
      </c>
      <c r="C167" s="3" t="s">
        <v>71</v>
      </c>
      <c r="D167" s="3" t="s">
        <v>375</v>
      </c>
      <c r="E167" s="7" t="s">
        <v>69</v>
      </c>
      <c r="F167" s="146" t="s">
        <v>572</v>
      </c>
      <c r="G167" s="4" t="s">
        <v>579</v>
      </c>
      <c r="H167" s="7">
        <v>42550</v>
      </c>
      <c r="I167" s="7">
        <v>42552</v>
      </c>
      <c r="J167" s="52">
        <f t="shared" si="12"/>
        <v>3</v>
      </c>
      <c r="K167" s="7" t="s">
        <v>26</v>
      </c>
      <c r="L167" s="3">
        <v>132</v>
      </c>
      <c r="M167" s="3">
        <v>4</v>
      </c>
      <c r="N167" s="1"/>
      <c r="O167" s="1"/>
      <c r="P167" s="1"/>
    </row>
    <row r="168" spans="1:16" x14ac:dyDescent="0.25">
      <c r="A168" s="9">
        <v>26</v>
      </c>
      <c r="B168" s="3" t="s">
        <v>148</v>
      </c>
      <c r="C168" s="3" t="s">
        <v>70</v>
      </c>
      <c r="D168" s="3" t="s">
        <v>385</v>
      </c>
      <c r="E168" s="7" t="s">
        <v>69</v>
      </c>
      <c r="F168" s="146" t="s">
        <v>572</v>
      </c>
      <c r="G168" s="4" t="s">
        <v>579</v>
      </c>
      <c r="H168" s="7">
        <v>42537</v>
      </c>
      <c r="I168" s="7">
        <v>42549</v>
      </c>
      <c r="J168" s="52">
        <f t="shared" si="12"/>
        <v>13</v>
      </c>
      <c r="K168" s="7" t="s">
        <v>26</v>
      </c>
      <c r="L168" s="3">
        <v>468</v>
      </c>
      <c r="M168" s="3">
        <v>5</v>
      </c>
      <c r="N168" s="1"/>
      <c r="O168" s="1"/>
      <c r="P168" s="1"/>
    </row>
    <row r="169" spans="1:16" x14ac:dyDescent="0.25">
      <c r="A169" s="9">
        <v>25</v>
      </c>
      <c r="B169" s="3" t="s">
        <v>148</v>
      </c>
      <c r="C169" s="3" t="s">
        <v>68</v>
      </c>
      <c r="D169" s="3" t="s">
        <v>398</v>
      </c>
      <c r="E169" s="7" t="s">
        <v>69</v>
      </c>
      <c r="F169" s="146" t="s">
        <v>572</v>
      </c>
      <c r="G169" s="4" t="s">
        <v>579</v>
      </c>
      <c r="H169" s="7">
        <v>42522</v>
      </c>
      <c r="I169" s="7">
        <v>42536</v>
      </c>
      <c r="J169" s="52">
        <f t="shared" si="12"/>
        <v>15</v>
      </c>
      <c r="K169" s="7" t="s">
        <v>26</v>
      </c>
      <c r="L169" s="3">
        <v>264</v>
      </c>
      <c r="M169" s="3">
        <v>3</v>
      </c>
      <c r="N169" s="1"/>
      <c r="O169" s="1"/>
      <c r="P169" s="1"/>
    </row>
    <row r="170" spans="1:16" x14ac:dyDescent="0.25">
      <c r="A170" s="9">
        <v>24</v>
      </c>
      <c r="B170" s="3" t="s">
        <v>148</v>
      </c>
      <c r="C170" s="3" t="s">
        <v>66</v>
      </c>
      <c r="D170" s="3" t="s">
        <v>370</v>
      </c>
      <c r="E170" s="7" t="s">
        <v>67</v>
      </c>
      <c r="F170" s="146" t="s">
        <v>572</v>
      </c>
      <c r="G170" s="4" t="s">
        <v>579</v>
      </c>
      <c r="H170" s="7">
        <v>42149</v>
      </c>
      <c r="I170" s="7">
        <v>42156</v>
      </c>
      <c r="J170" s="52">
        <f t="shared" si="12"/>
        <v>8</v>
      </c>
      <c r="K170" s="7" t="s">
        <v>26</v>
      </c>
      <c r="L170" s="3">
        <v>274</v>
      </c>
      <c r="M170" s="3">
        <v>4</v>
      </c>
      <c r="N170" s="1"/>
      <c r="O170" s="1"/>
      <c r="P170" s="1"/>
    </row>
    <row r="171" spans="1:16" x14ac:dyDescent="0.25">
      <c r="A171" s="9">
        <v>23</v>
      </c>
      <c r="B171" s="3" t="s">
        <v>6</v>
      </c>
      <c r="C171" s="3" t="s">
        <v>64</v>
      </c>
      <c r="D171" s="3" t="s">
        <v>65</v>
      </c>
      <c r="E171" s="7" t="s">
        <v>34</v>
      </c>
      <c r="F171" s="146" t="s">
        <v>616</v>
      </c>
      <c r="G171" s="4" t="s">
        <v>577</v>
      </c>
      <c r="H171" s="7">
        <v>42009</v>
      </c>
      <c r="I171" s="7">
        <v>42019</v>
      </c>
      <c r="J171" s="52">
        <f t="shared" si="12"/>
        <v>11</v>
      </c>
      <c r="K171" s="7" t="s">
        <v>26</v>
      </c>
      <c r="L171" s="3">
        <v>208</v>
      </c>
      <c r="M171" s="3">
        <v>4</v>
      </c>
      <c r="N171" s="1"/>
      <c r="O171" s="1"/>
      <c r="P171" s="1"/>
    </row>
    <row r="172" spans="1:16" x14ac:dyDescent="0.25">
      <c r="A172" s="9">
        <v>22</v>
      </c>
      <c r="B172" s="3" t="s">
        <v>6</v>
      </c>
      <c r="C172" s="3" t="s">
        <v>144</v>
      </c>
      <c r="D172" s="3" t="s">
        <v>145</v>
      </c>
      <c r="E172" s="7" t="s">
        <v>146</v>
      </c>
      <c r="F172" s="146" t="s">
        <v>601</v>
      </c>
      <c r="G172" s="4" t="s">
        <v>579</v>
      </c>
      <c r="H172" s="7">
        <v>41840</v>
      </c>
      <c r="I172" s="7">
        <v>41852</v>
      </c>
      <c r="J172" s="52">
        <f t="shared" si="12"/>
        <v>13</v>
      </c>
      <c r="K172" s="7" t="s">
        <v>26</v>
      </c>
      <c r="L172" s="3">
        <v>192</v>
      </c>
      <c r="M172" s="3">
        <v>4</v>
      </c>
      <c r="N172" s="1"/>
      <c r="O172" s="1"/>
      <c r="P172" s="1"/>
    </row>
    <row r="173" spans="1:16" x14ac:dyDescent="0.25">
      <c r="A173" s="9">
        <v>21</v>
      </c>
      <c r="B173" s="3" t="s">
        <v>6</v>
      </c>
      <c r="C173" s="3" t="s">
        <v>62</v>
      </c>
      <c r="D173" s="3" t="s">
        <v>63</v>
      </c>
      <c r="E173" s="7" t="s">
        <v>51</v>
      </c>
      <c r="F173" s="146" t="s">
        <v>617</v>
      </c>
      <c r="G173" s="4" t="s">
        <v>577</v>
      </c>
      <c r="H173" s="7">
        <v>41835</v>
      </c>
      <c r="I173" s="7">
        <v>41839</v>
      </c>
      <c r="J173" s="52">
        <f t="shared" si="12"/>
        <v>5</v>
      </c>
      <c r="K173" s="7" t="s">
        <v>26</v>
      </c>
      <c r="L173" s="3">
        <v>143</v>
      </c>
      <c r="M173" s="3">
        <v>4</v>
      </c>
      <c r="N173" s="1"/>
      <c r="O173" s="1"/>
      <c r="P173" s="1"/>
    </row>
    <row r="174" spans="1:16" x14ac:dyDescent="0.25">
      <c r="A174" s="9">
        <v>20</v>
      </c>
      <c r="B174" s="3" t="s">
        <v>6</v>
      </c>
      <c r="C174" s="3" t="s">
        <v>61</v>
      </c>
      <c r="D174" s="3" t="s">
        <v>60</v>
      </c>
      <c r="E174" s="7" t="s">
        <v>51</v>
      </c>
      <c r="F174" s="146" t="s">
        <v>617</v>
      </c>
      <c r="G174" s="4" t="s">
        <v>577</v>
      </c>
      <c r="H174" s="7">
        <v>41827</v>
      </c>
      <c r="I174" s="7">
        <v>41834</v>
      </c>
      <c r="J174" s="52">
        <f t="shared" si="12"/>
        <v>8</v>
      </c>
      <c r="K174" s="7" t="s">
        <v>26</v>
      </c>
      <c r="L174" s="3">
        <v>420</v>
      </c>
      <c r="M174" s="3">
        <v>3</v>
      </c>
    </row>
    <row r="175" spans="1:16" x14ac:dyDescent="0.25">
      <c r="A175" s="9">
        <v>19</v>
      </c>
      <c r="B175" s="3" t="s">
        <v>6</v>
      </c>
      <c r="C175" s="3" t="s">
        <v>59</v>
      </c>
      <c r="D175" s="3" t="s">
        <v>60</v>
      </c>
      <c r="E175" s="7" t="s">
        <v>51</v>
      </c>
      <c r="F175" s="146" t="s">
        <v>617</v>
      </c>
      <c r="G175" s="4" t="s">
        <v>577</v>
      </c>
      <c r="H175" s="7">
        <v>41815</v>
      </c>
      <c r="I175" s="7">
        <v>41826</v>
      </c>
      <c r="J175" s="52">
        <f t="shared" si="12"/>
        <v>12</v>
      </c>
      <c r="K175" s="7" t="s">
        <v>26</v>
      </c>
      <c r="L175" s="3">
        <v>704</v>
      </c>
      <c r="M175" s="3">
        <v>4</v>
      </c>
    </row>
    <row r="176" spans="1:16" x14ac:dyDescent="0.25">
      <c r="A176" s="9">
        <v>18</v>
      </c>
      <c r="B176" s="3" t="s">
        <v>6</v>
      </c>
      <c r="C176" s="3" t="s">
        <v>56</v>
      </c>
      <c r="D176" s="3" t="s">
        <v>57</v>
      </c>
      <c r="E176" s="7" t="s">
        <v>58</v>
      </c>
      <c r="F176" s="146" t="s">
        <v>573</v>
      </c>
      <c r="G176" s="4" t="s">
        <v>577</v>
      </c>
      <c r="H176" s="7">
        <v>41809</v>
      </c>
      <c r="I176" s="7">
        <v>41814</v>
      </c>
      <c r="J176" s="52">
        <f t="shared" si="12"/>
        <v>6</v>
      </c>
      <c r="K176" s="7" t="s">
        <v>26</v>
      </c>
      <c r="L176" s="3">
        <v>179</v>
      </c>
      <c r="M176" s="3">
        <v>4</v>
      </c>
    </row>
    <row r="177" spans="1:13" x14ac:dyDescent="0.25">
      <c r="A177" s="9">
        <v>17</v>
      </c>
      <c r="B177" s="3" t="s">
        <v>6</v>
      </c>
      <c r="C177" s="3" t="s">
        <v>54</v>
      </c>
      <c r="D177" s="3" t="s">
        <v>384</v>
      </c>
      <c r="E177" s="7" t="s">
        <v>55</v>
      </c>
      <c r="F177" s="146" t="s">
        <v>616</v>
      </c>
      <c r="G177" s="4" t="s">
        <v>577</v>
      </c>
      <c r="H177" s="7">
        <v>41800</v>
      </c>
      <c r="I177" s="7">
        <v>41808</v>
      </c>
      <c r="J177" s="52">
        <f t="shared" si="12"/>
        <v>9</v>
      </c>
      <c r="K177" s="7" t="s">
        <v>26</v>
      </c>
      <c r="L177" s="3">
        <v>184</v>
      </c>
      <c r="M177" s="3">
        <v>3</v>
      </c>
    </row>
    <row r="178" spans="1:13" x14ac:dyDescent="0.25">
      <c r="A178" s="9">
        <v>16</v>
      </c>
      <c r="B178" s="3" t="s">
        <v>6</v>
      </c>
      <c r="C178" s="3" t="s">
        <v>52</v>
      </c>
      <c r="D178" s="3" t="s">
        <v>53</v>
      </c>
      <c r="E178" s="7" t="s">
        <v>34</v>
      </c>
      <c r="F178" s="146" t="s">
        <v>608</v>
      </c>
      <c r="G178" s="4" t="s">
        <v>579</v>
      </c>
      <c r="H178" s="7">
        <v>41799</v>
      </c>
      <c r="I178" s="7">
        <v>41799</v>
      </c>
      <c r="J178" s="52">
        <f t="shared" si="12"/>
        <v>1</v>
      </c>
      <c r="K178" s="7" t="s">
        <v>26</v>
      </c>
      <c r="L178" s="3">
        <v>432</v>
      </c>
      <c r="M178" s="3">
        <v>4</v>
      </c>
    </row>
    <row r="179" spans="1:13" x14ac:dyDescent="0.25">
      <c r="A179" s="9">
        <v>15</v>
      </c>
      <c r="B179" s="3" t="s">
        <v>6</v>
      </c>
      <c r="C179" s="3" t="s">
        <v>49</v>
      </c>
      <c r="D179" s="3" t="s">
        <v>50</v>
      </c>
      <c r="E179" s="7" t="s">
        <v>51</v>
      </c>
      <c r="F179" s="146" t="s">
        <v>573</v>
      </c>
      <c r="G179" s="4" t="s">
        <v>577</v>
      </c>
      <c r="H179" s="7">
        <v>41790</v>
      </c>
      <c r="I179" s="7">
        <v>41790</v>
      </c>
      <c r="J179" s="52">
        <f t="shared" si="12"/>
        <v>1</v>
      </c>
      <c r="K179" s="7" t="s">
        <v>26</v>
      </c>
      <c r="L179" s="3">
        <v>168</v>
      </c>
      <c r="M179" s="3">
        <v>3</v>
      </c>
    </row>
    <row r="180" spans="1:13" x14ac:dyDescent="0.25">
      <c r="A180" s="9">
        <v>14</v>
      </c>
      <c r="B180" s="3" t="s">
        <v>6</v>
      </c>
      <c r="C180" s="3" t="s">
        <v>46</v>
      </c>
      <c r="D180" s="3" t="s">
        <v>47</v>
      </c>
      <c r="E180" s="7" t="s">
        <v>48</v>
      </c>
      <c r="F180" s="146" t="s">
        <v>571</v>
      </c>
      <c r="G180" s="4" t="s">
        <v>579</v>
      </c>
      <c r="H180" s="7">
        <v>41789</v>
      </c>
      <c r="I180" s="7">
        <v>41789</v>
      </c>
      <c r="J180" s="52">
        <f t="shared" si="12"/>
        <v>1</v>
      </c>
      <c r="K180" s="7" t="s">
        <v>26</v>
      </c>
      <c r="L180" s="3">
        <v>156</v>
      </c>
      <c r="M180" s="3">
        <v>3</v>
      </c>
    </row>
    <row r="181" spans="1:13" x14ac:dyDescent="0.25">
      <c r="A181" s="9">
        <v>13</v>
      </c>
      <c r="B181" s="3" t="s">
        <v>6</v>
      </c>
      <c r="C181" s="3" t="s">
        <v>43</v>
      </c>
      <c r="D181" s="3" t="s">
        <v>44</v>
      </c>
      <c r="E181" s="7" t="s">
        <v>45</v>
      </c>
      <c r="F181" s="146" t="s">
        <v>573</v>
      </c>
      <c r="G181" s="4" t="s">
        <v>594</v>
      </c>
      <c r="H181" s="7">
        <v>41787</v>
      </c>
      <c r="I181" s="7">
        <v>41788</v>
      </c>
      <c r="J181" s="52">
        <f t="shared" ref="J181:J193" si="13">IF(I181="", "", I181 - H181 + 1)</f>
        <v>2</v>
      </c>
      <c r="K181" s="7" t="s">
        <v>26</v>
      </c>
      <c r="L181" s="3">
        <v>156</v>
      </c>
      <c r="M181" s="3">
        <v>4</v>
      </c>
    </row>
    <row r="182" spans="1:13" x14ac:dyDescent="0.25">
      <c r="A182" s="9">
        <v>12</v>
      </c>
      <c r="B182" s="3" t="s">
        <v>6</v>
      </c>
      <c r="C182" s="3" t="s">
        <v>42</v>
      </c>
      <c r="D182" s="3" t="s">
        <v>36</v>
      </c>
      <c r="E182" s="7" t="s">
        <v>37</v>
      </c>
      <c r="F182" s="146" t="s">
        <v>600</v>
      </c>
      <c r="G182" s="4" t="s">
        <v>577</v>
      </c>
      <c r="H182" s="7">
        <v>41784</v>
      </c>
      <c r="I182" s="7">
        <v>41786</v>
      </c>
      <c r="J182" s="52">
        <f t="shared" si="13"/>
        <v>3</v>
      </c>
      <c r="K182" s="7" t="s">
        <v>26</v>
      </c>
      <c r="L182" s="3">
        <v>141</v>
      </c>
      <c r="M182" s="3">
        <v>5</v>
      </c>
    </row>
    <row r="183" spans="1:13" x14ac:dyDescent="0.25">
      <c r="A183" s="9">
        <v>11</v>
      </c>
      <c r="B183" s="3" t="s">
        <v>6</v>
      </c>
      <c r="C183" s="3" t="s">
        <v>39</v>
      </c>
      <c r="D183" s="3" t="s">
        <v>40</v>
      </c>
      <c r="E183" s="7" t="s">
        <v>41</v>
      </c>
      <c r="F183" s="146" t="s">
        <v>612</v>
      </c>
      <c r="G183" s="4" t="s">
        <v>577</v>
      </c>
      <c r="H183" s="7">
        <v>41781</v>
      </c>
      <c r="I183" s="7">
        <v>41783</v>
      </c>
      <c r="J183" s="52">
        <f t="shared" si="13"/>
        <v>3</v>
      </c>
      <c r="K183" s="7" t="s">
        <v>26</v>
      </c>
      <c r="L183" s="3">
        <v>208</v>
      </c>
      <c r="M183" s="3">
        <v>4</v>
      </c>
    </row>
    <row r="184" spans="1:13" x14ac:dyDescent="0.25">
      <c r="A184" s="9">
        <v>10</v>
      </c>
      <c r="B184" s="3" t="s">
        <v>6</v>
      </c>
      <c r="C184" s="3" t="s">
        <v>38</v>
      </c>
      <c r="D184" s="3" t="s">
        <v>36</v>
      </c>
      <c r="E184" s="7" t="s">
        <v>37</v>
      </c>
      <c r="F184" s="146" t="s">
        <v>600</v>
      </c>
      <c r="G184" s="4" t="s">
        <v>577</v>
      </c>
      <c r="H184" s="7">
        <v>41775</v>
      </c>
      <c r="I184" s="7">
        <v>41780</v>
      </c>
      <c r="J184" s="52">
        <f t="shared" si="13"/>
        <v>6</v>
      </c>
      <c r="K184" s="7" t="s">
        <v>26</v>
      </c>
      <c r="L184" s="3">
        <v>141</v>
      </c>
      <c r="M184" s="3">
        <v>4</v>
      </c>
    </row>
    <row r="185" spans="1:13" x14ac:dyDescent="0.25">
      <c r="A185" s="9">
        <v>9</v>
      </c>
      <c r="B185" s="3" t="s">
        <v>6</v>
      </c>
      <c r="C185" s="3" t="s">
        <v>35</v>
      </c>
      <c r="D185" s="3" t="s">
        <v>36</v>
      </c>
      <c r="E185" s="7" t="s">
        <v>37</v>
      </c>
      <c r="F185" s="146" t="s">
        <v>600</v>
      </c>
      <c r="G185" s="4" t="s">
        <v>577</v>
      </c>
      <c r="H185" s="7">
        <v>41769</v>
      </c>
      <c r="I185" s="7">
        <v>41774</v>
      </c>
      <c r="J185" s="52">
        <f t="shared" si="13"/>
        <v>6</v>
      </c>
      <c r="K185" s="7" t="s">
        <v>26</v>
      </c>
      <c r="L185" s="3">
        <v>142</v>
      </c>
      <c r="M185" s="3">
        <v>4</v>
      </c>
    </row>
    <row r="186" spans="1:13" x14ac:dyDescent="0.25">
      <c r="A186" s="9">
        <v>8</v>
      </c>
      <c r="B186" s="3" t="s">
        <v>6</v>
      </c>
      <c r="C186" s="3" t="s">
        <v>32</v>
      </c>
      <c r="D186" s="3" t="s">
        <v>33</v>
      </c>
      <c r="E186" s="7" t="s">
        <v>34</v>
      </c>
      <c r="F186" s="146" t="s">
        <v>571</v>
      </c>
      <c r="G186" s="4" t="s">
        <v>575</v>
      </c>
      <c r="H186" s="7">
        <v>41682</v>
      </c>
      <c r="I186" s="7">
        <v>41692</v>
      </c>
      <c r="J186" s="52">
        <f t="shared" si="13"/>
        <v>11</v>
      </c>
      <c r="K186" s="7" t="s">
        <v>26</v>
      </c>
      <c r="L186" s="3">
        <v>96</v>
      </c>
      <c r="M186" s="3">
        <v>4</v>
      </c>
    </row>
    <row r="187" spans="1:13" x14ac:dyDescent="0.25">
      <c r="A187" s="9">
        <v>7</v>
      </c>
      <c r="B187" s="3" t="s">
        <v>6</v>
      </c>
      <c r="C187" s="3" t="s">
        <v>30</v>
      </c>
      <c r="D187" s="3" t="s">
        <v>31</v>
      </c>
      <c r="E187" s="7" t="s">
        <v>357</v>
      </c>
      <c r="F187" s="146" t="s">
        <v>569</v>
      </c>
      <c r="G187" s="4" t="s">
        <v>579</v>
      </c>
      <c r="H187" s="7">
        <v>41583</v>
      </c>
      <c r="I187" s="7">
        <v>41593</v>
      </c>
      <c r="J187" s="52">
        <f t="shared" si="13"/>
        <v>11</v>
      </c>
      <c r="K187" s="7" t="s">
        <v>26</v>
      </c>
      <c r="L187" s="3">
        <v>318</v>
      </c>
      <c r="M187" s="3">
        <v>4</v>
      </c>
    </row>
    <row r="188" spans="1:13" x14ac:dyDescent="0.25">
      <c r="A188" s="9">
        <v>6</v>
      </c>
      <c r="B188" s="3" t="s">
        <v>6</v>
      </c>
      <c r="C188" s="5" t="s">
        <v>563</v>
      </c>
      <c r="D188" s="3" t="s">
        <v>28</v>
      </c>
      <c r="E188" s="7" t="s">
        <v>29</v>
      </c>
      <c r="F188" s="146" t="s">
        <v>618</v>
      </c>
      <c r="G188" s="4" t="s">
        <v>577</v>
      </c>
      <c r="H188" s="7">
        <v>41518</v>
      </c>
      <c r="I188" s="7">
        <v>41532</v>
      </c>
      <c r="J188" s="52">
        <f t="shared" si="13"/>
        <v>15</v>
      </c>
      <c r="K188" s="7" t="s">
        <v>26</v>
      </c>
      <c r="L188" s="3">
        <v>186</v>
      </c>
      <c r="M188" s="3">
        <v>4</v>
      </c>
    </row>
    <row r="189" spans="1:13" x14ac:dyDescent="0.25">
      <c r="A189" s="9">
        <v>5</v>
      </c>
      <c r="B189" s="10" t="s">
        <v>6</v>
      </c>
      <c r="C189" s="50" t="s">
        <v>22</v>
      </c>
      <c r="D189" s="8" t="s">
        <v>23</v>
      </c>
      <c r="E189" s="7" t="s">
        <v>24</v>
      </c>
      <c r="F189" s="146" t="s">
        <v>573</v>
      </c>
      <c r="G189" s="4" t="s">
        <v>577</v>
      </c>
      <c r="H189" s="7">
        <v>41495</v>
      </c>
      <c r="I189" s="7">
        <v>41516</v>
      </c>
      <c r="J189" s="52">
        <f t="shared" si="13"/>
        <v>22</v>
      </c>
      <c r="K189" s="7" t="s">
        <v>26</v>
      </c>
      <c r="L189" s="3">
        <v>319</v>
      </c>
      <c r="M189" s="3">
        <v>5</v>
      </c>
    </row>
    <row r="190" spans="1:13" x14ac:dyDescent="0.25">
      <c r="A190" s="9">
        <v>4</v>
      </c>
      <c r="B190" s="10" t="s">
        <v>6</v>
      </c>
      <c r="C190" s="50" t="s">
        <v>17</v>
      </c>
      <c r="D190" s="8" t="s">
        <v>20</v>
      </c>
      <c r="E190" s="7" t="s">
        <v>21</v>
      </c>
      <c r="F190" s="146" t="s">
        <v>607</v>
      </c>
      <c r="G190" s="4" t="s">
        <v>579</v>
      </c>
      <c r="H190" s="7">
        <v>41118</v>
      </c>
      <c r="I190" s="7">
        <v>41129</v>
      </c>
      <c r="J190" s="52">
        <f t="shared" si="13"/>
        <v>12</v>
      </c>
      <c r="K190" s="7" t="s">
        <v>26</v>
      </c>
      <c r="L190" s="3">
        <v>360</v>
      </c>
      <c r="M190" s="3">
        <v>4</v>
      </c>
    </row>
    <row r="191" spans="1:13" x14ac:dyDescent="0.25">
      <c r="A191" s="9">
        <v>3</v>
      </c>
      <c r="B191" s="10" t="s">
        <v>6</v>
      </c>
      <c r="C191" s="50" t="s">
        <v>14</v>
      </c>
      <c r="D191" s="8" t="s">
        <v>15</v>
      </c>
      <c r="E191" s="7" t="s">
        <v>16</v>
      </c>
      <c r="F191" s="146" t="s">
        <v>603</v>
      </c>
      <c r="G191" s="4" t="s">
        <v>575</v>
      </c>
      <c r="H191" s="7">
        <v>41049</v>
      </c>
      <c r="I191" s="7">
        <v>41061</v>
      </c>
      <c r="J191" s="52">
        <f t="shared" si="13"/>
        <v>13</v>
      </c>
      <c r="K191" s="7" t="s">
        <v>26</v>
      </c>
      <c r="L191" s="3">
        <v>256</v>
      </c>
      <c r="M191" s="3">
        <v>3</v>
      </c>
    </row>
    <row r="192" spans="1:13" x14ac:dyDescent="0.25">
      <c r="A192" s="9">
        <v>2</v>
      </c>
      <c r="B192" s="10" t="s">
        <v>6</v>
      </c>
      <c r="C192" s="50" t="s">
        <v>18</v>
      </c>
      <c r="D192" s="8" t="s">
        <v>12</v>
      </c>
      <c r="E192" s="7" t="s">
        <v>13</v>
      </c>
      <c r="F192" s="146" t="s">
        <v>603</v>
      </c>
      <c r="G192" s="4" t="s">
        <v>577</v>
      </c>
      <c r="H192" s="7">
        <v>40878</v>
      </c>
      <c r="I192" s="7">
        <v>40897</v>
      </c>
      <c r="J192" s="52">
        <f t="shared" si="13"/>
        <v>20</v>
      </c>
      <c r="K192" s="7" t="s">
        <v>26</v>
      </c>
      <c r="L192" s="3">
        <v>608</v>
      </c>
      <c r="M192" s="3">
        <v>5</v>
      </c>
    </row>
    <row r="193" spans="1:13" x14ac:dyDescent="0.25">
      <c r="A193" s="9">
        <v>1</v>
      </c>
      <c r="B193" s="10" t="s">
        <v>6</v>
      </c>
      <c r="C193" s="50" t="s">
        <v>19</v>
      </c>
      <c r="D193" s="8" t="s">
        <v>10</v>
      </c>
      <c r="E193" s="7" t="s">
        <v>11</v>
      </c>
      <c r="F193" s="146" t="s">
        <v>603</v>
      </c>
      <c r="G193" s="4" t="s">
        <v>577</v>
      </c>
      <c r="H193" s="7">
        <v>40787</v>
      </c>
      <c r="I193" s="7">
        <v>40796</v>
      </c>
      <c r="J193" s="52">
        <f t="shared" si="13"/>
        <v>10</v>
      </c>
      <c r="K193" s="7" t="s">
        <v>26</v>
      </c>
      <c r="L193" s="3">
        <v>320</v>
      </c>
      <c r="M193" s="3">
        <v>4</v>
      </c>
    </row>
    <row r="194" spans="1:13" x14ac:dyDescent="0.25">
      <c r="L194" s="14"/>
      <c r="M194" s="14"/>
    </row>
    <row r="195" spans="1:13" x14ac:dyDescent="0.25">
      <c r="L195" s="14"/>
      <c r="M195" s="14"/>
    </row>
    <row r="196" spans="1:13" x14ac:dyDescent="0.25">
      <c r="L196" s="14"/>
      <c r="M196" s="14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W8:W17 W20 T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0984-377A-4CD1-B967-0F7704620CF9}">
  <dimension ref="A1:X43"/>
  <sheetViews>
    <sheetView showGridLines="0" zoomScaleNormal="100" workbookViewId="0">
      <pane ySplit="1" topLeftCell="A2" activePane="bottomLeft" state="frozen"/>
      <selection pane="bottomLeft" activeCell="N4" sqref="N4"/>
    </sheetView>
  </sheetViews>
  <sheetFormatPr defaultRowHeight="15" x14ac:dyDescent="0.25"/>
  <cols>
    <col min="1" max="1" width="4.42578125" style="12" bestFit="1" customWidth="1"/>
    <col min="2" max="2" width="5.5703125" style="11" bestFit="1" customWidth="1"/>
    <col min="3" max="3" width="35.28515625" style="11" bestFit="1" customWidth="1"/>
    <col min="4" max="4" width="23.28515625" style="11" bestFit="1" customWidth="1"/>
    <col min="5" max="5" width="20.7109375" style="11" bestFit="1" customWidth="1"/>
    <col min="6" max="6" width="10.5703125" style="11" bestFit="1" customWidth="1"/>
    <col min="7" max="8" width="11.28515625" style="13" bestFit="1" customWidth="1"/>
    <col min="9" max="9" width="5.42578125" style="53" bestFit="1" customWidth="1"/>
    <col min="10" max="10" width="9.28515625" style="13" bestFit="1" customWidth="1"/>
    <col min="11" max="11" width="9" style="11" bestFit="1" customWidth="1"/>
    <col min="12" max="13" width="4.42578125" style="11" bestFit="1" customWidth="1"/>
    <col min="14" max="14" width="5.7109375" style="11" bestFit="1" customWidth="1"/>
    <col min="15" max="15" width="1.7109375" customWidth="1"/>
    <col min="16" max="16" width="11.5703125" bestFit="1" customWidth="1"/>
    <col min="17" max="17" width="7.42578125" bestFit="1" customWidth="1"/>
    <col min="18" max="18" width="5.42578125" bestFit="1" customWidth="1"/>
    <col min="19" max="19" width="8.85546875" bestFit="1" customWidth="1"/>
    <col min="20" max="20" width="9.5703125" bestFit="1" customWidth="1"/>
    <col min="21" max="21" width="7.42578125" bestFit="1" customWidth="1"/>
    <col min="22" max="22" width="6.140625" bestFit="1" customWidth="1"/>
    <col min="23" max="23" width="10.5703125" bestFit="1" customWidth="1"/>
    <col min="24" max="24" width="10.28515625" bestFit="1" customWidth="1"/>
  </cols>
  <sheetData>
    <row r="1" spans="1:24" x14ac:dyDescent="0.25">
      <c r="A1" s="25" t="s">
        <v>0</v>
      </c>
      <c r="B1" s="26" t="s">
        <v>4</v>
      </c>
      <c r="C1" s="26" t="s">
        <v>1</v>
      </c>
      <c r="D1" s="26" t="s">
        <v>7</v>
      </c>
      <c r="E1" s="26" t="s">
        <v>8</v>
      </c>
      <c r="F1" s="26" t="s">
        <v>297</v>
      </c>
      <c r="G1" s="27" t="s">
        <v>254</v>
      </c>
      <c r="H1" s="27" t="s">
        <v>253</v>
      </c>
      <c r="I1" s="51" t="s">
        <v>255</v>
      </c>
      <c r="J1" s="27" t="s">
        <v>25</v>
      </c>
      <c r="K1" s="26" t="s">
        <v>9</v>
      </c>
      <c r="L1" s="111" t="s">
        <v>346</v>
      </c>
      <c r="M1" s="111" t="s">
        <v>347</v>
      </c>
      <c r="N1" s="111" t="s">
        <v>334</v>
      </c>
      <c r="O1" s="2"/>
    </row>
    <row r="2" spans="1:24" x14ac:dyDescent="0.25">
      <c r="A2" s="65"/>
      <c r="B2"/>
      <c r="D2"/>
      <c r="E2"/>
      <c r="F2"/>
      <c r="G2" s="54"/>
      <c r="H2"/>
      <c r="I2" s="55"/>
      <c r="J2"/>
      <c r="K2"/>
      <c r="L2"/>
      <c r="M2"/>
      <c r="N2"/>
      <c r="O2" s="1"/>
    </row>
    <row r="3" spans="1:24" x14ac:dyDescent="0.25">
      <c r="A3" s="9"/>
      <c r="B3" s="3"/>
      <c r="C3" s="3"/>
      <c r="D3" s="3"/>
      <c r="E3" s="7"/>
      <c r="F3" s="4"/>
      <c r="G3" s="7"/>
      <c r="H3" s="7"/>
      <c r="I3" s="52"/>
      <c r="J3" s="7"/>
      <c r="K3" s="10"/>
      <c r="L3" s="112"/>
      <c r="M3" s="112"/>
      <c r="N3" s="112"/>
      <c r="O3" s="1"/>
      <c r="P3" s="6" t="s">
        <v>9</v>
      </c>
      <c r="Q3" s="15" t="s">
        <v>138</v>
      </c>
      <c r="R3" s="22" t="s">
        <v>147</v>
      </c>
      <c r="S3" s="15" t="s">
        <v>139</v>
      </c>
      <c r="T3" s="22" t="s">
        <v>26</v>
      </c>
      <c r="U3" s="22" t="s">
        <v>27</v>
      </c>
      <c r="V3" s="22" t="s">
        <v>2</v>
      </c>
      <c r="W3" s="41" t="s">
        <v>162</v>
      </c>
      <c r="X3" s="21" t="s">
        <v>151</v>
      </c>
    </row>
    <row r="4" spans="1:24" x14ac:dyDescent="0.25">
      <c r="A4" s="9">
        <v>25</v>
      </c>
      <c r="B4" s="3" t="s">
        <v>6</v>
      </c>
      <c r="C4" s="3" t="s">
        <v>554</v>
      </c>
      <c r="D4" s="3" t="s">
        <v>553</v>
      </c>
      <c r="E4" s="7" t="s">
        <v>555</v>
      </c>
      <c r="F4" s="4" t="s">
        <v>298</v>
      </c>
      <c r="G4" s="7">
        <v>46299</v>
      </c>
      <c r="H4" s="7">
        <v>46303</v>
      </c>
      <c r="I4" s="52">
        <f t="shared" ref="I4:I24" si="0">IF(H4="", "", H4 - G4 + 1)</f>
        <v>5</v>
      </c>
      <c r="J4" s="7" t="s">
        <v>27</v>
      </c>
      <c r="K4" s="10">
        <v>148</v>
      </c>
      <c r="L4" s="112">
        <v>4</v>
      </c>
      <c r="M4" s="112">
        <v>4</v>
      </c>
      <c r="N4" s="112">
        <f t="shared" ref="N4:N27" si="1">ROUND(AVERAGE(L4:M4)*2,0)/2</f>
        <v>4</v>
      </c>
      <c r="O4" s="1"/>
      <c r="P4" s="31" t="s">
        <v>2</v>
      </c>
      <c r="Q4" s="28">
        <f>SUMIFS(K:K,B:B,"Livro",H:H,"&gt;=01/01/2000",H:H,"&lt;=31/12/2099")</f>
        <v>8518</v>
      </c>
      <c r="R4" s="29">
        <f>SUMIFS(K:K,B:B,"HQ",H:H,"&gt;=01/01/2000",H:H,"&lt;=31/12/2099")</f>
        <v>0</v>
      </c>
      <c r="S4" s="29">
        <f>SUMIFS(K:K,B:B,"Mangá",H:H,"&gt;=01/01/2011",H:H,"&lt;=31/12/2024")</f>
        <v>0</v>
      </c>
      <c r="T4" s="29">
        <f>SUMIFS(K:K,J:J,"Físico",H:H,"&gt;=01/01/2000",H:H,"&lt;=31/12/2099")</f>
        <v>7129</v>
      </c>
      <c r="U4" s="29">
        <f>SUMIFS(K:K,J:J,"Digital",H:H,"&gt;=01/01/2000",H:H,"&lt;=31/12/2099")</f>
        <v>1389</v>
      </c>
      <c r="V4" s="30">
        <f>SUM(Q4:S4)</f>
        <v>8518</v>
      </c>
      <c r="W4" s="23">
        <f>COUNTIFS(C:C,"*(*",H:H,"&gt;=01/01/2000",H:H,"&lt;=31/12/2099")</f>
        <v>0</v>
      </c>
      <c r="X4" s="42">
        <f>SUM(X7:X9)/2</f>
        <v>11.662235197245304</v>
      </c>
    </row>
    <row r="5" spans="1:24" x14ac:dyDescent="0.25">
      <c r="A5" s="9">
        <v>24</v>
      </c>
      <c r="B5" s="3" t="s">
        <v>6</v>
      </c>
      <c r="C5" s="3" t="s">
        <v>549</v>
      </c>
      <c r="D5" s="3" t="s">
        <v>550</v>
      </c>
      <c r="E5" s="7" t="s">
        <v>230</v>
      </c>
      <c r="F5" s="4" t="s">
        <v>298</v>
      </c>
      <c r="G5" s="7">
        <v>46266</v>
      </c>
      <c r="H5" s="7">
        <v>46284</v>
      </c>
      <c r="I5" s="52">
        <f t="shared" si="0"/>
        <v>19</v>
      </c>
      <c r="J5" s="7" t="s">
        <v>26</v>
      </c>
      <c r="K5" s="10">
        <v>368</v>
      </c>
      <c r="L5" s="112">
        <v>4.5</v>
      </c>
      <c r="M5" s="112">
        <v>4</v>
      </c>
      <c r="N5" s="112">
        <f t="shared" si="1"/>
        <v>4.5</v>
      </c>
      <c r="O5" s="1"/>
    </row>
    <row r="6" spans="1:24" x14ac:dyDescent="0.25">
      <c r="A6" s="9">
        <v>23</v>
      </c>
      <c r="B6" s="3" t="s">
        <v>6</v>
      </c>
      <c r="C6" s="3" t="s">
        <v>544</v>
      </c>
      <c r="D6" s="3" t="s">
        <v>225</v>
      </c>
      <c r="E6" s="7" t="s">
        <v>226</v>
      </c>
      <c r="F6" s="4" t="s">
        <v>298</v>
      </c>
      <c r="G6" s="7">
        <v>46248</v>
      </c>
      <c r="H6" s="7">
        <v>46266</v>
      </c>
      <c r="I6" s="52">
        <f t="shared" si="0"/>
        <v>19</v>
      </c>
      <c r="J6" s="7" t="s">
        <v>26</v>
      </c>
      <c r="K6" s="10">
        <v>382</v>
      </c>
      <c r="L6" s="112">
        <v>4.5</v>
      </c>
      <c r="M6" s="112">
        <v>4.5</v>
      </c>
      <c r="N6" s="112">
        <f t="shared" si="1"/>
        <v>4.5</v>
      </c>
      <c r="O6" s="1"/>
      <c r="P6" s="34" t="s">
        <v>3</v>
      </c>
      <c r="Q6" s="35" t="s">
        <v>138</v>
      </c>
      <c r="R6" s="36" t="s">
        <v>147</v>
      </c>
      <c r="S6" s="35" t="s">
        <v>139</v>
      </c>
      <c r="T6" s="36" t="s">
        <v>26</v>
      </c>
      <c r="U6" s="36" t="s">
        <v>27</v>
      </c>
      <c r="V6" s="36" t="s">
        <v>2</v>
      </c>
      <c r="W6" s="36" t="s">
        <v>9</v>
      </c>
      <c r="X6" s="37" t="s">
        <v>151</v>
      </c>
    </row>
    <row r="7" spans="1:24" x14ac:dyDescent="0.25">
      <c r="A7" s="9">
        <v>22</v>
      </c>
      <c r="B7" s="3" t="s">
        <v>6</v>
      </c>
      <c r="C7" s="3" t="s">
        <v>535</v>
      </c>
      <c r="D7" s="3" t="s">
        <v>462</v>
      </c>
      <c r="E7" s="7" t="s">
        <v>233</v>
      </c>
      <c r="F7" s="4" t="s">
        <v>298</v>
      </c>
      <c r="G7" s="7">
        <v>46192</v>
      </c>
      <c r="H7" s="7">
        <v>46197</v>
      </c>
      <c r="I7" s="52">
        <f t="shared" si="0"/>
        <v>6</v>
      </c>
      <c r="J7" s="7" t="s">
        <v>26</v>
      </c>
      <c r="K7" s="10">
        <v>232</v>
      </c>
      <c r="L7" s="112">
        <v>4</v>
      </c>
      <c r="M7" s="112">
        <v>4</v>
      </c>
      <c r="N7" s="112">
        <f t="shared" si="1"/>
        <v>4</v>
      </c>
      <c r="O7" s="1"/>
      <c r="P7" s="39">
        <v>2024</v>
      </c>
      <c r="Q7" s="59">
        <f>COUNTIFS(B:B,"Livro",H:H,"&gt;=01/01/2024",H:H,"&lt;=31/12/2024")</f>
        <v>5</v>
      </c>
      <c r="R7" s="16">
        <f>COUNTIFS(B:B,"HQ",H:H,"&gt;=01/01/2024",H:H,"&lt;=31/12/2024")</f>
        <v>0</v>
      </c>
      <c r="S7" s="19">
        <f>COUNTIFS(B:B,"Mangá",H:H,"&gt;=01/01/2024",H:H,"&lt;=31/12/2024")</f>
        <v>0</v>
      </c>
      <c r="T7" s="16">
        <f>COUNTIFS(J:J,"Físico",H:H,"&gt;=01/01/2024",H:H,"&lt;=31/12/2024")</f>
        <v>5</v>
      </c>
      <c r="U7" s="16">
        <f>COUNTIFS(J:J,"Digital",H:H,"&gt;=01/01/2024",H:H,"&lt;=31/12/2024")</f>
        <v>0</v>
      </c>
      <c r="V7" s="16">
        <f>COUNTIFS(H:H,"&gt;=01/01/2024",H:H,"&lt;=31/12/2024")</f>
        <v>5</v>
      </c>
      <c r="W7" s="16">
        <f>SUMIFS(K:K,H:H,"&gt;=01/01/2024",H:H,"&lt;=31/12/2024")</f>
        <v>1672</v>
      </c>
      <c r="X7" s="43">
        <f>W7/366</f>
        <v>4.5683060109289615</v>
      </c>
    </row>
    <row r="8" spans="1:24" x14ac:dyDescent="0.25">
      <c r="A8" s="9">
        <v>21</v>
      </c>
      <c r="B8" s="3" t="s">
        <v>6</v>
      </c>
      <c r="C8" s="3" t="s">
        <v>534</v>
      </c>
      <c r="D8" s="3" t="s">
        <v>241</v>
      </c>
      <c r="E8" s="7" t="s">
        <v>233</v>
      </c>
      <c r="F8" s="4" t="s">
        <v>298</v>
      </c>
      <c r="G8" s="7">
        <v>46180</v>
      </c>
      <c r="H8" s="7">
        <v>46188</v>
      </c>
      <c r="I8" s="52">
        <f t="shared" si="0"/>
        <v>9</v>
      </c>
      <c r="J8" s="7" t="s">
        <v>27</v>
      </c>
      <c r="K8" s="10">
        <v>118</v>
      </c>
      <c r="L8" s="112">
        <v>4.5</v>
      </c>
      <c r="M8" s="112">
        <v>4.5</v>
      </c>
      <c r="N8" s="112">
        <f t="shared" si="1"/>
        <v>4.5</v>
      </c>
      <c r="O8" s="1"/>
      <c r="P8" s="39">
        <v>2025</v>
      </c>
      <c r="Q8" s="19">
        <f>COUNTIFS(B:B,"Livro",H:H,"&gt;=01/01/2025",H:H,"&lt;=31/12/2025")</f>
        <v>9</v>
      </c>
      <c r="R8" s="16">
        <f>COUNTIFS(B:B,"HQ",H:H,"&gt;=01/01/2025",H:H,"&lt;=31/12/2025")</f>
        <v>0</v>
      </c>
      <c r="S8" s="19">
        <f>COUNTIFS(B:B,"Mangá",H:H,"&gt;=01/01/2025",H:H,"&lt;=31/12/2025")</f>
        <v>0</v>
      </c>
      <c r="T8" s="16">
        <f>COUNTIFS(J:J,"Físico",H:H,"&gt;=01/01/2025",H:H,"&lt;=31/12/2025")</f>
        <v>7</v>
      </c>
      <c r="U8" s="16">
        <f>COUNTIFS(J:J,"Digital",H:H,"&gt;=01/01/2025",H:H,"&lt;=31/12/2025")</f>
        <v>2</v>
      </c>
      <c r="V8" s="16">
        <f>COUNTIFS(H:H,"&gt;=01/01/2025",H:H,"&lt;=31/12/2025")</f>
        <v>9</v>
      </c>
      <c r="W8" s="16">
        <f>SUMIFS(K:K,H:H,"&gt;=01/01/2025",H:H,"&lt;=31/12/2025")</f>
        <v>4188</v>
      </c>
      <c r="X8" s="43">
        <f>W8/365</f>
        <v>11.473972602739726</v>
      </c>
    </row>
    <row r="9" spans="1:24" x14ac:dyDescent="0.25">
      <c r="A9" s="9">
        <v>20</v>
      </c>
      <c r="B9" s="3" t="s">
        <v>6</v>
      </c>
      <c r="C9" s="3" t="s">
        <v>527</v>
      </c>
      <c r="D9" s="3" t="s">
        <v>528</v>
      </c>
      <c r="E9" s="7" t="s">
        <v>362</v>
      </c>
      <c r="F9" s="4" t="s">
        <v>298</v>
      </c>
      <c r="G9" s="7">
        <v>46144</v>
      </c>
      <c r="H9" s="7">
        <v>46179</v>
      </c>
      <c r="I9" s="52">
        <f t="shared" si="0"/>
        <v>36</v>
      </c>
      <c r="J9" s="7" t="s">
        <v>27</v>
      </c>
      <c r="K9" s="10">
        <v>448</v>
      </c>
      <c r="L9" s="112">
        <v>3.5</v>
      </c>
      <c r="M9" s="112">
        <v>4.5</v>
      </c>
      <c r="N9" s="112">
        <f t="shared" si="1"/>
        <v>4</v>
      </c>
      <c r="O9" s="1"/>
      <c r="P9" s="56">
        <v>2026</v>
      </c>
      <c r="Q9" s="57">
        <f>COUNTIFS(B:B,"Livro",H:H,"&gt;=01/01/2026",H:H,"&lt;=31/12/2026")</f>
        <v>11</v>
      </c>
      <c r="R9" s="40">
        <f>COUNTIFS(B:B,"HQ",H:H,"&gt;=01/01/2026",H:H,"&lt;=31/12/2026")</f>
        <v>0</v>
      </c>
      <c r="S9" s="57">
        <f>COUNTIFS(B:B,"Mangá",H:H,"&gt;=01/01/2026",H:H,"&lt;=31/12/2026")</f>
        <v>0</v>
      </c>
      <c r="T9" s="40">
        <f>COUNTIFS(J:J,"Físico",H:H,"&gt;=01/01/2026",H:H,"&lt;=31/12/2026")</f>
        <v>6</v>
      </c>
      <c r="U9" s="40">
        <f>COUNTIFS(J:J,"Digital",H:H,"&gt;=01/01/2026",H:H,"&lt;=31/12/2026")</f>
        <v>5</v>
      </c>
      <c r="V9" s="40">
        <f>COUNTIFS(H:H,"&gt;=01/01/2026",H:H,"&lt;=31/12/2026")</f>
        <v>11</v>
      </c>
      <c r="W9" s="40">
        <f>SUMIFS(K:K,H:H,"&gt;=01/01/2026",H:H,"&lt;=31/12/2026")</f>
        <v>2658</v>
      </c>
      <c r="X9" s="58">
        <f>W9/365</f>
        <v>7.2821917808219174</v>
      </c>
    </row>
    <row r="10" spans="1:24" x14ac:dyDescent="0.25">
      <c r="A10" s="9">
        <v>19</v>
      </c>
      <c r="B10" s="3" t="s">
        <v>6</v>
      </c>
      <c r="C10" s="3" t="s">
        <v>529</v>
      </c>
      <c r="D10" s="3" t="s">
        <v>528</v>
      </c>
      <c r="E10" s="7" t="s">
        <v>530</v>
      </c>
      <c r="F10" s="4" t="s">
        <v>299</v>
      </c>
      <c r="G10" s="7">
        <v>46146</v>
      </c>
      <c r="H10" s="7">
        <v>46146</v>
      </c>
      <c r="I10" s="52">
        <f t="shared" si="0"/>
        <v>1</v>
      </c>
      <c r="J10" s="7" t="s">
        <v>26</v>
      </c>
      <c r="K10" s="10">
        <v>80</v>
      </c>
      <c r="L10" s="112">
        <v>3.5</v>
      </c>
      <c r="M10" s="112">
        <v>3.5</v>
      </c>
      <c r="N10" s="112">
        <f t="shared" si="1"/>
        <v>3.5</v>
      </c>
      <c r="O10" s="1"/>
    </row>
    <row r="11" spans="1:24" x14ac:dyDescent="0.25">
      <c r="A11" s="9">
        <v>18</v>
      </c>
      <c r="B11" s="3" t="s">
        <v>6</v>
      </c>
      <c r="C11" s="3" t="s">
        <v>521</v>
      </c>
      <c r="D11" s="3" t="s">
        <v>460</v>
      </c>
      <c r="E11" s="7" t="s">
        <v>233</v>
      </c>
      <c r="F11" s="4" t="s">
        <v>298</v>
      </c>
      <c r="G11" s="7">
        <v>46120</v>
      </c>
      <c r="H11" s="7">
        <v>46130</v>
      </c>
      <c r="I11" s="52">
        <f t="shared" si="0"/>
        <v>11</v>
      </c>
      <c r="J11" s="7" t="s">
        <v>26</v>
      </c>
      <c r="K11" s="10">
        <v>240</v>
      </c>
      <c r="L11" s="112">
        <v>3.5</v>
      </c>
      <c r="M11" s="112">
        <v>3</v>
      </c>
      <c r="N11" s="112">
        <f t="shared" si="1"/>
        <v>3.5</v>
      </c>
      <c r="O11" s="1"/>
      <c r="P11" s="33" t="s">
        <v>150</v>
      </c>
      <c r="Q11" s="15" t="s">
        <v>138</v>
      </c>
      <c r="R11" s="22" t="s">
        <v>147</v>
      </c>
      <c r="S11" s="15" t="s">
        <v>139</v>
      </c>
      <c r="T11" s="22" t="s">
        <v>26</v>
      </c>
      <c r="U11" s="22" t="s">
        <v>27</v>
      </c>
      <c r="V11" s="22" t="s">
        <v>2</v>
      </c>
      <c r="W11" s="22" t="s">
        <v>9</v>
      </c>
      <c r="X11" s="21" t="s">
        <v>152</v>
      </c>
    </row>
    <row r="12" spans="1:24" x14ac:dyDescent="0.25">
      <c r="A12" s="9">
        <v>17</v>
      </c>
      <c r="B12" s="3" t="s">
        <v>6</v>
      </c>
      <c r="C12" s="3" t="s">
        <v>433</v>
      </c>
      <c r="D12" s="3" t="s">
        <v>435</v>
      </c>
      <c r="E12" s="7" t="s">
        <v>434</v>
      </c>
      <c r="F12" s="4" t="s">
        <v>298</v>
      </c>
      <c r="G12" s="7">
        <v>46084</v>
      </c>
      <c r="H12" s="7">
        <v>46094</v>
      </c>
      <c r="I12" s="52">
        <f t="shared" si="0"/>
        <v>11</v>
      </c>
      <c r="J12" s="7" t="s">
        <v>27</v>
      </c>
      <c r="K12" s="10">
        <v>251</v>
      </c>
      <c r="L12" s="112">
        <v>4</v>
      </c>
      <c r="M12" s="112">
        <v>4</v>
      </c>
      <c r="N12" s="112">
        <f t="shared" si="1"/>
        <v>4</v>
      </c>
      <c r="O12" s="1"/>
      <c r="P12" s="32" t="s">
        <v>2</v>
      </c>
      <c r="Q12" s="20">
        <f t="shared" ref="Q12:W12" si="2">SUM(Q7:Q9)</f>
        <v>25</v>
      </c>
      <c r="R12" s="24">
        <f t="shared" si="2"/>
        <v>0</v>
      </c>
      <c r="S12" s="24">
        <f t="shared" si="2"/>
        <v>0</v>
      </c>
      <c r="T12" s="24">
        <f t="shared" si="2"/>
        <v>18</v>
      </c>
      <c r="U12" s="24">
        <f t="shared" si="2"/>
        <v>7</v>
      </c>
      <c r="V12" s="24">
        <f t="shared" si="2"/>
        <v>25</v>
      </c>
      <c r="W12" s="23">
        <f t="shared" si="2"/>
        <v>8518</v>
      </c>
      <c r="X12" s="42">
        <f>SUM(V12)/3</f>
        <v>8.3333333333333339</v>
      </c>
    </row>
    <row r="13" spans="1:24" x14ac:dyDescent="0.25">
      <c r="A13" s="9">
        <v>16</v>
      </c>
      <c r="B13" s="3" t="s">
        <v>6</v>
      </c>
      <c r="C13" s="3" t="s">
        <v>429</v>
      </c>
      <c r="D13" s="3" t="s">
        <v>430</v>
      </c>
      <c r="E13" s="7" t="s">
        <v>238</v>
      </c>
      <c r="F13" s="4" t="s">
        <v>299</v>
      </c>
      <c r="G13" s="7">
        <v>46076</v>
      </c>
      <c r="H13" s="7">
        <v>46081</v>
      </c>
      <c r="I13" s="52">
        <f t="shared" si="0"/>
        <v>6</v>
      </c>
      <c r="J13" s="7" t="s">
        <v>27</v>
      </c>
      <c r="K13" s="10">
        <v>119</v>
      </c>
      <c r="L13" s="112">
        <v>3</v>
      </c>
      <c r="M13" s="112">
        <v>3</v>
      </c>
      <c r="N13" s="112">
        <f t="shared" si="1"/>
        <v>3</v>
      </c>
      <c r="O13" s="1"/>
      <c r="W13" s="1"/>
    </row>
    <row r="14" spans="1:24" x14ac:dyDescent="0.25">
      <c r="A14" s="9">
        <v>15</v>
      </c>
      <c r="B14" s="3" t="s">
        <v>6</v>
      </c>
      <c r="C14" s="3" t="s">
        <v>426</v>
      </c>
      <c r="D14" s="3" t="s">
        <v>225</v>
      </c>
      <c r="E14" s="7" t="s">
        <v>266</v>
      </c>
      <c r="F14" s="4" t="s">
        <v>299</v>
      </c>
      <c r="G14" s="7">
        <v>46032</v>
      </c>
      <c r="H14" s="7">
        <v>46046</v>
      </c>
      <c r="I14" s="52">
        <f t="shared" si="0"/>
        <v>15</v>
      </c>
      <c r="J14" s="7" t="s">
        <v>26</v>
      </c>
      <c r="K14" s="10">
        <v>272</v>
      </c>
      <c r="L14" s="112">
        <v>4</v>
      </c>
      <c r="M14" s="112">
        <v>4</v>
      </c>
      <c r="N14" s="112">
        <f t="shared" si="1"/>
        <v>4</v>
      </c>
      <c r="O14" s="1"/>
      <c r="P14" s="33" t="s">
        <v>193</v>
      </c>
      <c r="Q14" s="21" t="s">
        <v>2</v>
      </c>
      <c r="S14" s="110" t="s">
        <v>334</v>
      </c>
      <c r="T14" s="110" t="s">
        <v>4</v>
      </c>
      <c r="U14" s="110" t="s">
        <v>0</v>
      </c>
      <c r="W14" s="110" t="s">
        <v>297</v>
      </c>
      <c r="X14" s="110" t="s">
        <v>0</v>
      </c>
    </row>
    <row r="15" spans="1:24" x14ac:dyDescent="0.25">
      <c r="A15" s="9">
        <v>14</v>
      </c>
      <c r="B15" s="3" t="s">
        <v>6</v>
      </c>
      <c r="C15" s="3" t="s">
        <v>418</v>
      </c>
      <c r="D15" s="3" t="s">
        <v>417</v>
      </c>
      <c r="E15" s="7" t="s">
        <v>34</v>
      </c>
      <c r="F15" s="4" t="s">
        <v>298</v>
      </c>
      <c r="G15" s="7">
        <v>46013</v>
      </c>
      <c r="H15" s="7">
        <v>46019</v>
      </c>
      <c r="I15" s="52">
        <f t="shared" si="0"/>
        <v>7</v>
      </c>
      <c r="J15" s="7" t="s">
        <v>27</v>
      </c>
      <c r="K15" s="10">
        <v>156</v>
      </c>
      <c r="L15" s="112">
        <v>4</v>
      </c>
      <c r="M15" s="112">
        <v>4</v>
      </c>
      <c r="N15" s="112">
        <f t="shared" si="1"/>
        <v>4</v>
      </c>
      <c r="O15" s="1"/>
      <c r="P15" s="44" t="s">
        <v>194</v>
      </c>
      <c r="Q15" s="46">
        <f>SUMPRODUCT((MONTH(H2:H745)=1)*(H2:H745&lt;&gt;""))</f>
        <v>1</v>
      </c>
      <c r="S15" s="110">
        <v>5</v>
      </c>
      <c r="T15" s="110" t="s">
        <v>336</v>
      </c>
      <c r="U15" s="110">
        <f>COUNTIF(N:N,5)</f>
        <v>5</v>
      </c>
      <c r="W15" s="110" t="s">
        <v>298</v>
      </c>
      <c r="X15" s="109">
        <f>COUNTIF(F:F,"Diana")</f>
        <v>17</v>
      </c>
    </row>
    <row r="16" spans="1:24" x14ac:dyDescent="0.25">
      <c r="A16" s="9">
        <v>13</v>
      </c>
      <c r="B16" s="3" t="s">
        <v>6</v>
      </c>
      <c r="C16" s="3" t="s">
        <v>408</v>
      </c>
      <c r="D16" s="3" t="s">
        <v>409</v>
      </c>
      <c r="E16" s="7" t="s">
        <v>97</v>
      </c>
      <c r="F16" s="4" t="s">
        <v>299</v>
      </c>
      <c r="G16" s="7">
        <v>45997</v>
      </c>
      <c r="H16" s="7">
        <v>46001</v>
      </c>
      <c r="I16" s="52">
        <f t="shared" si="0"/>
        <v>5</v>
      </c>
      <c r="J16" s="7" t="s">
        <v>27</v>
      </c>
      <c r="K16" s="10">
        <v>149</v>
      </c>
      <c r="L16" s="112">
        <v>4.5</v>
      </c>
      <c r="M16" s="112">
        <v>4.5</v>
      </c>
      <c r="N16" s="112">
        <f t="shared" si="1"/>
        <v>4.5</v>
      </c>
      <c r="O16" s="1"/>
      <c r="P16" s="47" t="s">
        <v>195</v>
      </c>
      <c r="Q16" s="46">
        <f>SUMPRODUCT(--(MONTH(H2:H745)=2))</f>
        <v>1</v>
      </c>
      <c r="S16" s="110">
        <v>4.5</v>
      </c>
      <c r="T16" s="110" t="s">
        <v>337</v>
      </c>
      <c r="U16" s="110">
        <f>COUNTIF(N:N,4.5)</f>
        <v>7</v>
      </c>
      <c r="W16" s="110" t="s">
        <v>299</v>
      </c>
      <c r="X16" s="109">
        <f>COUNTIF(F:F,"Luiz")</f>
        <v>8</v>
      </c>
    </row>
    <row r="17" spans="1:24" x14ac:dyDescent="0.25">
      <c r="A17" s="9">
        <v>12</v>
      </c>
      <c r="B17" s="3" t="s">
        <v>6</v>
      </c>
      <c r="C17" s="3" t="s">
        <v>405</v>
      </c>
      <c r="D17" s="3" t="s">
        <v>406</v>
      </c>
      <c r="E17" s="7" t="s">
        <v>242</v>
      </c>
      <c r="F17" s="4" t="s">
        <v>298</v>
      </c>
      <c r="G17" s="7">
        <v>45973</v>
      </c>
      <c r="H17" s="7">
        <v>45980</v>
      </c>
      <c r="I17" s="52">
        <f t="shared" si="0"/>
        <v>8</v>
      </c>
      <c r="J17" s="7" t="s">
        <v>26</v>
      </c>
      <c r="K17" s="10">
        <v>291</v>
      </c>
      <c r="L17" s="112">
        <v>5</v>
      </c>
      <c r="M17" s="112">
        <v>4</v>
      </c>
      <c r="N17" s="112">
        <f t="shared" si="1"/>
        <v>4.5</v>
      </c>
      <c r="O17" s="1"/>
      <c r="P17" s="45" t="s">
        <v>196</v>
      </c>
      <c r="Q17" s="46">
        <f>SUMPRODUCT(--(MONTH(H2:H745)=3))</f>
        <v>2</v>
      </c>
      <c r="S17" s="110">
        <v>4</v>
      </c>
      <c r="T17" s="110" t="s">
        <v>338</v>
      </c>
      <c r="U17" s="110">
        <f>COUNTIF(N:N,4)</f>
        <v>8</v>
      </c>
      <c r="W17" s="110" t="s">
        <v>335</v>
      </c>
      <c r="X17" s="109">
        <f>COUNTA(F:F)-COUNTIF(F:F,"Diana")-COUNTIF(F:F,"Luiz")-1</f>
        <v>0</v>
      </c>
    </row>
    <row r="18" spans="1:24" x14ac:dyDescent="0.25">
      <c r="A18" s="9">
        <v>11</v>
      </c>
      <c r="B18" s="3" t="s">
        <v>6</v>
      </c>
      <c r="C18" s="3" t="s">
        <v>402</v>
      </c>
      <c r="D18" s="3" t="s">
        <v>225</v>
      </c>
      <c r="E18" s="7" t="s">
        <v>266</v>
      </c>
      <c r="F18" s="4" t="s">
        <v>298</v>
      </c>
      <c r="G18" s="7">
        <v>45932</v>
      </c>
      <c r="H18" s="7">
        <v>45944</v>
      </c>
      <c r="I18" s="52">
        <f t="shared" si="0"/>
        <v>13</v>
      </c>
      <c r="J18" s="7" t="s">
        <v>26</v>
      </c>
      <c r="K18" s="10">
        <v>224</v>
      </c>
      <c r="L18" s="112">
        <v>4</v>
      </c>
      <c r="M18" s="112">
        <v>4</v>
      </c>
      <c r="N18" s="112">
        <f t="shared" si="1"/>
        <v>4</v>
      </c>
      <c r="O18" s="1"/>
      <c r="P18" s="47" t="s">
        <v>197</v>
      </c>
      <c r="Q18" s="46">
        <f>SUMPRODUCT(--(MONTH(H2:H745)=4))</f>
        <v>2</v>
      </c>
      <c r="S18" s="110">
        <v>3.5</v>
      </c>
      <c r="T18" s="110" t="s">
        <v>339</v>
      </c>
      <c r="U18" s="110">
        <f>COUNTIF(N:N,3.5)</f>
        <v>3</v>
      </c>
      <c r="W18" s="110" t="s">
        <v>2</v>
      </c>
      <c r="X18" s="109">
        <f>SUM(X15:X17)</f>
        <v>25</v>
      </c>
    </row>
    <row r="19" spans="1:24" x14ac:dyDescent="0.25">
      <c r="A19" s="9">
        <v>10</v>
      </c>
      <c r="B19" s="3" t="s">
        <v>6</v>
      </c>
      <c r="C19" s="3" t="s">
        <v>380</v>
      </c>
      <c r="D19" s="3" t="s">
        <v>381</v>
      </c>
      <c r="E19" s="7" t="s">
        <v>156</v>
      </c>
      <c r="F19" s="4" t="s">
        <v>298</v>
      </c>
      <c r="G19" s="7">
        <v>45889</v>
      </c>
      <c r="H19" s="7">
        <v>45929</v>
      </c>
      <c r="I19" s="52">
        <f t="shared" si="0"/>
        <v>41</v>
      </c>
      <c r="J19" s="7" t="s">
        <v>26</v>
      </c>
      <c r="K19" s="10">
        <v>432</v>
      </c>
      <c r="L19" s="112">
        <v>2.5</v>
      </c>
      <c r="M19" s="112">
        <v>2.5</v>
      </c>
      <c r="N19" s="112">
        <f t="shared" si="1"/>
        <v>2.5</v>
      </c>
      <c r="O19" s="1"/>
      <c r="P19" s="45" t="s">
        <v>198</v>
      </c>
      <c r="Q19" s="46">
        <f>SUMPRODUCT(--(MONTH(H2:H745)=5))</f>
        <v>2</v>
      </c>
      <c r="S19" s="110">
        <v>3</v>
      </c>
      <c r="T19" s="110" t="s">
        <v>340</v>
      </c>
      <c r="U19" s="110">
        <f>COUNTIF(N:N,3)</f>
        <v>1</v>
      </c>
    </row>
    <row r="20" spans="1:24" x14ac:dyDescent="0.25">
      <c r="A20" s="9">
        <v>9</v>
      </c>
      <c r="B20" s="3" t="s">
        <v>6</v>
      </c>
      <c r="C20" s="3" t="s">
        <v>327</v>
      </c>
      <c r="D20" s="3" t="s">
        <v>306</v>
      </c>
      <c r="E20" s="7" t="s">
        <v>230</v>
      </c>
      <c r="F20" s="4" t="s">
        <v>298</v>
      </c>
      <c r="G20" s="7">
        <v>45784</v>
      </c>
      <c r="H20" s="7">
        <v>45836</v>
      </c>
      <c r="I20" s="52">
        <f t="shared" si="0"/>
        <v>53</v>
      </c>
      <c r="J20" s="7" t="s">
        <v>26</v>
      </c>
      <c r="K20" s="10">
        <v>792</v>
      </c>
      <c r="L20" s="112">
        <v>5</v>
      </c>
      <c r="M20" s="112">
        <v>5</v>
      </c>
      <c r="N20" s="112">
        <f t="shared" si="1"/>
        <v>5</v>
      </c>
      <c r="O20" s="1"/>
      <c r="P20" s="47" t="s">
        <v>199</v>
      </c>
      <c r="Q20" s="46">
        <f>SUMPRODUCT(--(MONTH(H2:H745)=6))</f>
        <v>4</v>
      </c>
      <c r="S20" s="110">
        <v>2.5</v>
      </c>
      <c r="T20" s="110" t="s">
        <v>341</v>
      </c>
      <c r="U20" s="110">
        <f>COUNTIF(N:N,2.5)</f>
        <v>1</v>
      </c>
    </row>
    <row r="21" spans="1:24" x14ac:dyDescent="0.25">
      <c r="A21" s="9">
        <v>8</v>
      </c>
      <c r="B21" s="3" t="s">
        <v>6</v>
      </c>
      <c r="C21" s="3" t="s">
        <v>326</v>
      </c>
      <c r="D21" s="3" t="s">
        <v>225</v>
      </c>
      <c r="E21" s="7" t="s">
        <v>226</v>
      </c>
      <c r="F21" s="4" t="s">
        <v>298</v>
      </c>
      <c r="G21" s="7">
        <v>45778</v>
      </c>
      <c r="H21" s="7">
        <v>45783</v>
      </c>
      <c r="I21" s="52">
        <f t="shared" si="0"/>
        <v>6</v>
      </c>
      <c r="J21" s="7" t="s">
        <v>26</v>
      </c>
      <c r="K21" s="10">
        <v>312</v>
      </c>
      <c r="L21" s="112">
        <v>4.5</v>
      </c>
      <c r="M21" s="112">
        <v>5</v>
      </c>
      <c r="N21" s="112">
        <f t="shared" si="1"/>
        <v>5</v>
      </c>
      <c r="O21" s="1"/>
      <c r="P21" s="45" t="s">
        <v>200</v>
      </c>
      <c r="Q21" s="46">
        <f>SUMPRODUCT(--(MONTH(H2:H745)=7))</f>
        <v>0</v>
      </c>
      <c r="S21" s="110">
        <v>2</v>
      </c>
      <c r="T21" s="110" t="s">
        <v>342</v>
      </c>
      <c r="U21" s="110">
        <f>COUNTIF(N:N,2)</f>
        <v>0</v>
      </c>
    </row>
    <row r="22" spans="1:24" x14ac:dyDescent="0.25">
      <c r="A22" s="9">
        <v>7</v>
      </c>
      <c r="B22" s="3" t="s">
        <v>6</v>
      </c>
      <c r="C22" s="3" t="s">
        <v>320</v>
      </c>
      <c r="D22" s="3" t="s">
        <v>321</v>
      </c>
      <c r="E22" s="7" t="s">
        <v>97</v>
      </c>
      <c r="F22" s="4" t="s">
        <v>299</v>
      </c>
      <c r="G22" s="7">
        <v>45759</v>
      </c>
      <c r="H22" s="7">
        <v>45773</v>
      </c>
      <c r="I22" s="52">
        <f t="shared" si="0"/>
        <v>15</v>
      </c>
      <c r="J22" s="7" t="s">
        <v>26</v>
      </c>
      <c r="K22" s="10">
        <v>528</v>
      </c>
      <c r="L22" s="112">
        <v>5</v>
      </c>
      <c r="M22" s="112">
        <v>5</v>
      </c>
      <c r="N22" s="112">
        <f t="shared" si="1"/>
        <v>5</v>
      </c>
      <c r="O22" s="1"/>
      <c r="P22" s="47" t="s">
        <v>201</v>
      </c>
      <c r="Q22" s="46">
        <f>SUMPRODUCT(--(MONTH(H2:H745)=8))</f>
        <v>1</v>
      </c>
      <c r="S22" s="110">
        <v>1.5</v>
      </c>
      <c r="T22" s="110" t="s">
        <v>343</v>
      </c>
      <c r="U22" s="110">
        <f>COUNTIF(N:N,1.5)</f>
        <v>0</v>
      </c>
    </row>
    <row r="23" spans="1:24" x14ac:dyDescent="0.25">
      <c r="A23" s="9">
        <v>6</v>
      </c>
      <c r="B23" s="3" t="s">
        <v>6</v>
      </c>
      <c r="C23" s="3" t="s">
        <v>305</v>
      </c>
      <c r="D23" s="3" t="s">
        <v>306</v>
      </c>
      <c r="E23" s="7" t="s">
        <v>242</v>
      </c>
      <c r="F23" s="4" t="s">
        <v>298</v>
      </c>
      <c r="G23" s="7">
        <v>45661</v>
      </c>
      <c r="H23" s="7">
        <v>45747</v>
      </c>
      <c r="I23" s="52">
        <f t="shared" si="0"/>
        <v>87</v>
      </c>
      <c r="J23" s="7" t="s">
        <v>26</v>
      </c>
      <c r="K23" s="10">
        <v>1304</v>
      </c>
      <c r="L23" s="112">
        <v>5</v>
      </c>
      <c r="M23" s="112">
        <v>5</v>
      </c>
      <c r="N23" s="112">
        <f t="shared" si="1"/>
        <v>5</v>
      </c>
      <c r="O23" s="1"/>
      <c r="P23" s="45" t="s">
        <v>202</v>
      </c>
      <c r="Q23" s="46">
        <f>SUMPRODUCT(--(MONTH(H2:H745)=9))</f>
        <v>3</v>
      </c>
      <c r="S23" s="110">
        <v>1</v>
      </c>
      <c r="T23" s="110" t="s">
        <v>344</v>
      </c>
      <c r="U23" s="110">
        <f>COUNTIF(N:N,1)</f>
        <v>0</v>
      </c>
    </row>
    <row r="24" spans="1:24" x14ac:dyDescent="0.25">
      <c r="A24" s="9">
        <v>5</v>
      </c>
      <c r="B24" s="3" t="s">
        <v>6</v>
      </c>
      <c r="C24" s="3" t="s">
        <v>293</v>
      </c>
      <c r="D24" s="3" t="s">
        <v>225</v>
      </c>
      <c r="E24" s="7" t="s">
        <v>266</v>
      </c>
      <c r="F24" s="4" t="s">
        <v>298</v>
      </c>
      <c r="G24" s="7">
        <v>45648</v>
      </c>
      <c r="H24" s="7">
        <v>45653</v>
      </c>
      <c r="I24" s="52">
        <f t="shared" si="0"/>
        <v>6</v>
      </c>
      <c r="J24" s="7" t="s">
        <v>26</v>
      </c>
      <c r="K24" s="10">
        <v>224</v>
      </c>
      <c r="L24" s="112">
        <v>4.5</v>
      </c>
      <c r="M24" s="112">
        <v>4.5</v>
      </c>
      <c r="N24" s="112">
        <f t="shared" si="1"/>
        <v>4.5</v>
      </c>
      <c r="O24" s="1"/>
      <c r="P24" s="47" t="s">
        <v>203</v>
      </c>
      <c r="Q24" s="46">
        <f>SUMPRODUCT(--(MONTH(H2:H745)=10))</f>
        <v>2</v>
      </c>
      <c r="S24" s="110" t="s">
        <v>345</v>
      </c>
      <c r="T24" s="110" t="s">
        <v>2</v>
      </c>
      <c r="U24" s="110">
        <f>SUM(U15:U23)</f>
        <v>25</v>
      </c>
    </row>
    <row r="25" spans="1:24" x14ac:dyDescent="0.25">
      <c r="A25" s="9">
        <v>4</v>
      </c>
      <c r="B25" s="3" t="s">
        <v>6</v>
      </c>
      <c r="C25" s="3" t="s">
        <v>278</v>
      </c>
      <c r="D25" s="3" t="s">
        <v>279</v>
      </c>
      <c r="E25" s="7" t="s">
        <v>259</v>
      </c>
      <c r="F25" s="4" t="s">
        <v>299</v>
      </c>
      <c r="G25" s="7">
        <v>45625</v>
      </c>
      <c r="H25" s="7">
        <v>45639</v>
      </c>
      <c r="I25" s="52">
        <f>IF(H25="", "", H25 - G25 + 1)</f>
        <v>15</v>
      </c>
      <c r="J25" s="7" t="s">
        <v>26</v>
      </c>
      <c r="K25" s="10">
        <v>448</v>
      </c>
      <c r="L25" s="112">
        <v>4</v>
      </c>
      <c r="M25" s="112">
        <v>4</v>
      </c>
      <c r="N25" s="112">
        <f t="shared" si="1"/>
        <v>4</v>
      </c>
      <c r="O25" s="1"/>
      <c r="P25" s="45" t="s">
        <v>204</v>
      </c>
      <c r="Q25" s="46">
        <f>SUMPRODUCT(--(MONTH(H2:H745)=11))</f>
        <v>3</v>
      </c>
    </row>
    <row r="26" spans="1:24" x14ac:dyDescent="0.25">
      <c r="A26" s="9">
        <v>3</v>
      </c>
      <c r="B26" s="3" t="s">
        <v>6</v>
      </c>
      <c r="C26" s="3" t="s">
        <v>257</v>
      </c>
      <c r="D26" s="3" t="s">
        <v>258</v>
      </c>
      <c r="E26" s="7" t="s">
        <v>259</v>
      </c>
      <c r="F26" s="4" t="s">
        <v>299</v>
      </c>
      <c r="G26" s="7">
        <v>45600</v>
      </c>
      <c r="H26" s="7">
        <v>45613</v>
      </c>
      <c r="I26" s="52">
        <f t="shared" ref="I26:I28" si="3">IF(H26="", "", H26 - G26 + 1)</f>
        <v>14</v>
      </c>
      <c r="J26" s="7" t="s">
        <v>26</v>
      </c>
      <c r="K26" s="10">
        <v>272</v>
      </c>
      <c r="L26" s="112">
        <v>4</v>
      </c>
      <c r="M26" s="112">
        <v>5</v>
      </c>
      <c r="N26" s="112">
        <f t="shared" si="1"/>
        <v>4.5</v>
      </c>
      <c r="O26" s="1"/>
      <c r="P26" s="47" t="s">
        <v>205</v>
      </c>
      <c r="Q26" s="49">
        <f>SUMPRODUCT(--(MONTH(H2:H745)=12))</f>
        <v>4</v>
      </c>
    </row>
    <row r="27" spans="1:24" x14ac:dyDescent="0.25">
      <c r="A27" s="9">
        <v>2</v>
      </c>
      <c r="B27" s="3" t="s">
        <v>6</v>
      </c>
      <c r="C27" s="3" t="s">
        <v>243</v>
      </c>
      <c r="D27" s="3" t="s">
        <v>244</v>
      </c>
      <c r="E27" s="7" t="s">
        <v>156</v>
      </c>
      <c r="F27" s="4" t="s">
        <v>299</v>
      </c>
      <c r="G27" s="7">
        <v>45563</v>
      </c>
      <c r="H27" s="7">
        <v>45598</v>
      </c>
      <c r="I27" s="52">
        <f t="shared" si="3"/>
        <v>36</v>
      </c>
      <c r="J27" s="7" t="s">
        <v>26</v>
      </c>
      <c r="K27" s="10">
        <v>496</v>
      </c>
      <c r="L27" s="112">
        <v>5</v>
      </c>
      <c r="M27" s="112">
        <v>5</v>
      </c>
      <c r="N27" s="112">
        <f t="shared" si="1"/>
        <v>5</v>
      </c>
      <c r="O27" s="1"/>
      <c r="P27" s="32" t="s">
        <v>2</v>
      </c>
      <c r="Q27" s="48">
        <f>SUM(Q15:Q26)</f>
        <v>25</v>
      </c>
    </row>
    <row r="28" spans="1:24" x14ac:dyDescent="0.25">
      <c r="A28" s="9">
        <v>1</v>
      </c>
      <c r="B28" s="3" t="s">
        <v>6</v>
      </c>
      <c r="C28" s="3" t="s">
        <v>227</v>
      </c>
      <c r="D28" s="3" t="s">
        <v>225</v>
      </c>
      <c r="E28" s="7" t="s">
        <v>115</v>
      </c>
      <c r="F28" s="4" t="s">
        <v>298</v>
      </c>
      <c r="G28" s="7">
        <v>45512</v>
      </c>
      <c r="H28" s="7">
        <v>45534</v>
      </c>
      <c r="I28" s="52">
        <f t="shared" si="3"/>
        <v>23</v>
      </c>
      <c r="J28" s="7" t="s">
        <v>26</v>
      </c>
      <c r="K28" s="10">
        <v>232</v>
      </c>
      <c r="L28" s="112">
        <v>3.5</v>
      </c>
      <c r="M28" s="112">
        <v>3.5</v>
      </c>
      <c r="N28" s="112">
        <f>ROUND(AVERAGE(L28:M28)*2,0)/2</f>
        <v>3.5</v>
      </c>
      <c r="O28" s="1"/>
      <c r="P28" s="1"/>
      <c r="Q28" s="1"/>
    </row>
    <row r="29" spans="1:24" x14ac:dyDescent="0.25">
      <c r="K29" s="14"/>
      <c r="L29" s="14"/>
      <c r="M29" s="14"/>
      <c r="N29" s="14"/>
      <c r="O29" s="1"/>
    </row>
    <row r="30" spans="1:24" x14ac:dyDescent="0.25">
      <c r="K30" s="14"/>
      <c r="L30" s="14"/>
      <c r="M30" s="14"/>
      <c r="N30" s="14"/>
    </row>
    <row r="31" spans="1:24" x14ac:dyDescent="0.25">
      <c r="K31" s="14"/>
      <c r="L31" s="14"/>
      <c r="M31" s="14"/>
      <c r="N31" s="14"/>
    </row>
    <row r="32" spans="1:24" x14ac:dyDescent="0.25">
      <c r="K32" s="14"/>
      <c r="L32" s="14"/>
      <c r="M32" s="14"/>
      <c r="N32" s="14"/>
    </row>
    <row r="33" spans="11:14" x14ac:dyDescent="0.25">
      <c r="K33" s="14"/>
      <c r="L33" s="14"/>
      <c r="M33" s="14"/>
      <c r="N33" s="14"/>
    </row>
    <row r="34" spans="11:14" x14ac:dyDescent="0.25">
      <c r="K34" s="14"/>
      <c r="L34" s="14"/>
      <c r="M34" s="14"/>
      <c r="N34" s="14"/>
    </row>
    <row r="35" spans="11:14" x14ac:dyDescent="0.25">
      <c r="K35" s="14"/>
      <c r="L35" s="14"/>
      <c r="M35" s="14"/>
      <c r="N35" s="14"/>
    </row>
    <row r="36" spans="11:14" x14ac:dyDescent="0.25">
      <c r="K36" s="14"/>
      <c r="L36" s="14"/>
      <c r="M36" s="14"/>
      <c r="N36" s="14"/>
    </row>
    <row r="37" spans="11:14" x14ac:dyDescent="0.25">
      <c r="K37" s="14"/>
      <c r="L37" s="14"/>
      <c r="M37" s="14"/>
      <c r="N37" s="14"/>
    </row>
    <row r="38" spans="11:14" x14ac:dyDescent="0.25">
      <c r="K38" s="14"/>
      <c r="L38" s="14"/>
      <c r="M38" s="14"/>
      <c r="N38" s="14"/>
    </row>
    <row r="39" spans="11:14" x14ac:dyDescent="0.25">
      <c r="K39" s="14"/>
      <c r="L39" s="14"/>
      <c r="M39" s="14"/>
      <c r="N39" s="14"/>
    </row>
    <row r="40" spans="11:14" x14ac:dyDescent="0.25">
      <c r="K40" s="14"/>
      <c r="L40" s="14"/>
      <c r="M40" s="14"/>
      <c r="N40" s="14"/>
    </row>
    <row r="41" spans="11:14" x14ac:dyDescent="0.25">
      <c r="K41" s="14"/>
      <c r="L41" s="14"/>
      <c r="M41" s="14"/>
      <c r="N41" s="14"/>
    </row>
    <row r="42" spans="11:14" x14ac:dyDescent="0.25">
      <c r="K42" s="14"/>
      <c r="L42" s="14"/>
      <c r="M42" s="14"/>
      <c r="N42" s="14"/>
    </row>
    <row r="43" spans="11:14" x14ac:dyDescent="0.25">
      <c r="K43" s="14"/>
      <c r="L43" s="14"/>
      <c r="M43" s="14"/>
      <c r="N43" s="1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X7" formula="1"/>
    <ignoredError sqref="N4:N2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4CEA-C8E9-4130-8FDB-8EEB04F649D7}">
  <dimension ref="B1:Z33"/>
  <sheetViews>
    <sheetView showGridLines="0" workbookViewId="0">
      <selection activeCell="N27" sqref="N27"/>
    </sheetView>
  </sheetViews>
  <sheetFormatPr defaultRowHeight="15" x14ac:dyDescent="0.25"/>
  <cols>
    <col min="1" max="2" width="1.7109375" customWidth="1"/>
    <col min="3" max="3" width="11.7109375" bestFit="1" customWidth="1"/>
    <col min="4" max="4" width="4.5703125" bestFit="1" customWidth="1"/>
    <col min="5" max="5" width="12.7109375" bestFit="1" customWidth="1"/>
    <col min="6" max="6" width="4.5703125" bestFit="1" customWidth="1"/>
    <col min="7" max="7" width="12.7109375" bestFit="1" customWidth="1"/>
    <col min="8" max="8" width="5.140625" bestFit="1" customWidth="1"/>
    <col min="9" max="9" width="11.7109375" bestFit="1" customWidth="1"/>
    <col min="10" max="10" width="4.5703125" bestFit="1" customWidth="1"/>
    <col min="11" max="11" width="12.5703125" bestFit="1" customWidth="1"/>
    <col min="12" max="12" width="4.5703125" bestFit="1" customWidth="1"/>
    <col min="13" max="13" width="11.7109375" bestFit="1" customWidth="1"/>
    <col min="14" max="14" width="4.5703125" bestFit="1" customWidth="1"/>
    <col min="15" max="15" width="12.7109375" bestFit="1" customWidth="1"/>
    <col min="16" max="16" width="4.5703125" bestFit="1" customWidth="1"/>
    <col min="17" max="17" width="12.7109375" bestFit="1" customWidth="1"/>
    <col min="18" max="18" width="5.140625" customWidth="1"/>
    <col min="19" max="19" width="11.7109375" bestFit="1" customWidth="1"/>
    <col min="20" max="20" width="4.5703125" bestFit="1" customWidth="1"/>
    <col min="21" max="21" width="12.5703125" bestFit="1" customWidth="1"/>
    <col min="22" max="22" width="4.5703125" bestFit="1" customWidth="1"/>
    <col min="23" max="23" width="1.7109375" customWidth="1"/>
    <col min="24" max="24" width="12.85546875" bestFit="1" customWidth="1"/>
    <col min="25" max="25" width="8.85546875" bestFit="1" customWidth="1"/>
    <col min="26" max="26" width="1.7109375" customWidth="1"/>
  </cols>
  <sheetData>
    <row r="1" spans="2:26" ht="15.75" thickBot="1" x14ac:dyDescent="0.3">
      <c r="Z1" s="104"/>
    </row>
    <row r="2" spans="2:26" ht="8.1" customHeight="1" thickTop="1" thickBot="1" x14ac:dyDescent="0.3">
      <c r="B2" s="66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8"/>
      <c r="Y2" s="68"/>
      <c r="Z2" s="74"/>
    </row>
    <row r="3" spans="2:26" ht="17.25" thickTop="1" thickBot="1" x14ac:dyDescent="0.3">
      <c r="B3" s="69"/>
      <c r="C3" s="70">
        <v>2011</v>
      </c>
      <c r="D3" s="71" t="s">
        <v>0</v>
      </c>
      <c r="E3" s="72">
        <v>2012</v>
      </c>
      <c r="F3" s="71" t="s">
        <v>0</v>
      </c>
      <c r="G3" s="72">
        <v>2013</v>
      </c>
      <c r="H3" s="71" t="s">
        <v>0</v>
      </c>
      <c r="I3" s="72">
        <v>2014</v>
      </c>
      <c r="J3" s="71" t="s">
        <v>0</v>
      </c>
      <c r="K3" s="72">
        <v>2015</v>
      </c>
      <c r="L3" s="71" t="s">
        <v>0</v>
      </c>
      <c r="M3" s="72">
        <v>2016</v>
      </c>
      <c r="N3" s="106" t="s">
        <v>0</v>
      </c>
      <c r="O3" s="98">
        <v>2017</v>
      </c>
      <c r="P3" s="71" t="s">
        <v>0</v>
      </c>
      <c r="Q3" s="97">
        <v>2018</v>
      </c>
      <c r="R3" s="106" t="s">
        <v>0</v>
      </c>
      <c r="S3" s="98">
        <v>2019</v>
      </c>
      <c r="T3" s="106" t="s">
        <v>0</v>
      </c>
      <c r="U3" s="98">
        <v>2020</v>
      </c>
      <c r="V3" s="71" t="s">
        <v>0</v>
      </c>
      <c r="W3" s="74"/>
      <c r="X3" s="114" t="s">
        <v>331</v>
      </c>
      <c r="Y3" s="113" t="s">
        <v>0</v>
      </c>
      <c r="Z3" s="74"/>
    </row>
    <row r="4" spans="2:26" ht="16.5" thickTop="1" x14ac:dyDescent="0.25">
      <c r="B4" s="69"/>
      <c r="C4" s="75" t="s">
        <v>194</v>
      </c>
      <c r="D4" s="76">
        <f>COUNTIFS('Livros Finalizados'!$I:$I,"&gt;=01/01/2011",'Livros Finalizados'!$I:$I,"&lt;=31/01/2011")</f>
        <v>0</v>
      </c>
      <c r="E4" s="77" t="s">
        <v>194</v>
      </c>
      <c r="F4" s="76">
        <f>COUNTIFS('Livros Finalizados'!$I:$I,"&gt;=01/01/2012",'Livros Finalizados'!$I:$I,"&lt;=31/01/2012")</f>
        <v>0</v>
      </c>
      <c r="G4" s="77" t="s">
        <v>194</v>
      </c>
      <c r="H4" s="76">
        <f>COUNTIFS('Livros Finalizados'!$I:$I,"&gt;=01/01/2013",'Livros Finalizados'!$I:$I,"&lt;=31/01/2013")</f>
        <v>0</v>
      </c>
      <c r="I4" s="77" t="s">
        <v>194</v>
      </c>
      <c r="J4" s="76">
        <f>COUNTIFS('Livros Finalizados'!$I:$I,"&gt;=01/01/2014",'Livros Finalizados'!$I:$I,"&lt;=31/01/2014")</f>
        <v>0</v>
      </c>
      <c r="K4" s="77" t="s">
        <v>194</v>
      </c>
      <c r="L4" s="99">
        <f>COUNTIFS('Livros Finalizados'!$I:$I,"&gt;=01/01/2015",'Livros Finalizados'!$I:$I,"&lt;=31/01/2015")</f>
        <v>1</v>
      </c>
      <c r="M4" s="101" t="s">
        <v>194</v>
      </c>
      <c r="N4" s="99">
        <f>COUNTIFS('Livros Finalizados'!$I:$I,"&gt;=01/01/2016",'Livros Finalizados'!$I:$I,"&lt;=31/01/2016")</f>
        <v>0</v>
      </c>
      <c r="O4" s="77" t="s">
        <v>194</v>
      </c>
      <c r="P4" s="99">
        <f>COUNTIFS('Livros Finalizados'!$I:$I,"&gt;=01/01/2017",'Livros Finalizados'!$I:$I,"&lt;=31/01/2017")</f>
        <v>1</v>
      </c>
      <c r="Q4" s="77" t="s">
        <v>194</v>
      </c>
      <c r="R4" s="99">
        <f>COUNTIFS('Livros Finalizados'!$I:$I,"&gt;=01/01/2018",'Livros Finalizados'!$I:$I,"&lt;=31/01/2018")</f>
        <v>0</v>
      </c>
      <c r="S4" s="77" t="s">
        <v>194</v>
      </c>
      <c r="T4" s="99">
        <f>COUNTIFS('Livros Finalizados'!$I:$I,"&gt;=01/01/2019",'Livros Finalizados'!$I:$I,"&lt;=31/01/2019")</f>
        <v>0</v>
      </c>
      <c r="U4" s="77" t="s">
        <v>194</v>
      </c>
      <c r="V4" s="99">
        <f>COUNTIFS('Livros Finalizados'!$I:$I,"&gt;=01/01/2020",'Livros Finalizados'!$I:$I,"&lt;=31/01/2020")</f>
        <v>0</v>
      </c>
      <c r="W4" s="74"/>
      <c r="X4" s="115" t="s">
        <v>194</v>
      </c>
      <c r="Y4" s="123">
        <f>AVERAGE(D4,F4,H4,J4,L4,N4,P4,R4,T4,V4,D19,F19,H19,J19,L19,N19)</f>
        <v>0.6875</v>
      </c>
      <c r="Z4" s="74"/>
    </row>
    <row r="5" spans="2:26" ht="15.75" x14ac:dyDescent="0.25">
      <c r="B5" s="69"/>
      <c r="C5" s="78" t="s">
        <v>195</v>
      </c>
      <c r="D5" s="76">
        <f>COUNTIFS('Livros Finalizados'!$I:$I,"&gt;=01/02/2011",'Livros Finalizados'!$I:$I,"&lt;=28/02/2011")</f>
        <v>0</v>
      </c>
      <c r="E5" s="80" t="s">
        <v>195</v>
      </c>
      <c r="F5" s="76">
        <f>COUNTIFS('Livros Finalizados'!$I:$I,"&gt;=01/02/2012",'Livros Finalizados'!$I:$I,"&lt;=29/02/2012")</f>
        <v>0</v>
      </c>
      <c r="G5" s="80" t="s">
        <v>195</v>
      </c>
      <c r="H5" s="76">
        <f>COUNTIFS('Livros Finalizados'!$I:$I,"&gt;=01/03/2013",'Livros Finalizados'!$I:$I,"&lt;=28/02/2013")</f>
        <v>0</v>
      </c>
      <c r="I5" s="80" t="s">
        <v>195</v>
      </c>
      <c r="J5" s="76">
        <f>COUNTIFS('Livros Finalizados'!$I:$I,"&gt;=01/02/2014",'Livros Finalizados'!$I:$I,"&lt;=28/02/2014")</f>
        <v>1</v>
      </c>
      <c r="K5" s="80" t="s">
        <v>195</v>
      </c>
      <c r="L5" s="103">
        <f>COUNTIFS('Livros Finalizados'!$I:$I,"&gt;=01/02/2015",'Livros Finalizados'!$I:$I,"&lt;=28/02/2015")</f>
        <v>0</v>
      </c>
      <c r="M5" s="100" t="s">
        <v>195</v>
      </c>
      <c r="N5" s="103">
        <f>COUNTIFS('Livros Finalizados'!$I:$I,"&gt;=01/02/2016",'Livros Finalizados'!$I:$I,"&lt;=29/02/2016")</f>
        <v>0</v>
      </c>
      <c r="O5" s="80" t="s">
        <v>195</v>
      </c>
      <c r="P5" s="103">
        <f>COUNTIFS('Livros Finalizados'!$I:$I,"&gt;=01/02/2017",'Livros Finalizados'!$I:$I,"&lt;=28/02/2017")</f>
        <v>0</v>
      </c>
      <c r="Q5" s="80" t="s">
        <v>195</v>
      </c>
      <c r="R5" s="103">
        <f>COUNTIFS('Livros Finalizados'!$I:$I,"&gt;=01/02/2018",'Livros Finalizados'!$I:$I,"&lt;=28/02/2018")</f>
        <v>0</v>
      </c>
      <c r="S5" s="80" t="s">
        <v>195</v>
      </c>
      <c r="T5" s="103">
        <f>COUNTIFS('Livros Finalizados'!$I:$I,"&gt;=01/02/2019",'Livros Finalizados'!$I:$I,"&lt;=28/02/2019")</f>
        <v>0</v>
      </c>
      <c r="U5" s="80" t="s">
        <v>195</v>
      </c>
      <c r="V5" s="103">
        <f>COUNTIFS('Livros Finalizados'!$I:$I,"&gt;=01/02/2020",'Livros Finalizados'!$I:$I,"&lt;=29/02/2020")</f>
        <v>0</v>
      </c>
      <c r="W5" s="74"/>
      <c r="X5" s="116" t="s">
        <v>195</v>
      </c>
      <c r="Y5" s="125">
        <f t="shared" ref="Y5:Y15" si="0">AVERAGE(D5,F5,H5,J5,L5,N5,P5,R5,T5,V5,D20,F20,H20,J20,L20,N20)</f>
        <v>0.5</v>
      </c>
      <c r="Z5" s="74"/>
    </row>
    <row r="6" spans="2:26" ht="15.75" x14ac:dyDescent="0.25">
      <c r="B6" s="69"/>
      <c r="C6" s="78" t="s">
        <v>196</v>
      </c>
      <c r="D6" s="76">
        <f>COUNTIFS('Livros Finalizados'!$I:$I,"&gt;=01/03/2011",'Livros Finalizados'!$I:$I,"&lt;=31/03/2011")</f>
        <v>0</v>
      </c>
      <c r="E6" s="80" t="s">
        <v>196</v>
      </c>
      <c r="F6" s="76">
        <f>COUNTIFS('Livros Finalizados'!$I:$I,"&gt;=01/03/2012",'Livros Finalizados'!$I:$I,"&lt;=31/03/2012")</f>
        <v>0</v>
      </c>
      <c r="G6" s="80" t="s">
        <v>196</v>
      </c>
      <c r="H6" s="76">
        <f>COUNTIFS('Livros Finalizados'!$I:$I,"&gt;=01/03/2013",'Livros Finalizados'!$I:$I,"&lt;=31/03/2013")</f>
        <v>0</v>
      </c>
      <c r="I6" s="80" t="s">
        <v>196</v>
      </c>
      <c r="J6" s="76">
        <f>COUNTIFS('Livros Finalizados'!$I:$I,"&gt;=01/03/2014",'Livros Finalizados'!$I:$I,"&lt;=31/03/2014")</f>
        <v>0</v>
      </c>
      <c r="K6" s="80" t="s">
        <v>196</v>
      </c>
      <c r="L6" s="103">
        <f>COUNTIFS('Livros Finalizados'!$I:$I,"&gt;=01/03/2015",'Livros Finalizados'!$I:$I,"&lt;=31/03/2015")</f>
        <v>0</v>
      </c>
      <c r="M6" s="100" t="s">
        <v>196</v>
      </c>
      <c r="N6" s="103">
        <f>COUNTIFS('Livros Finalizados'!$I:$I,"&gt;=01/03/2016",'Livros Finalizados'!$I:$I,"&lt;=31/03/2016")</f>
        <v>0</v>
      </c>
      <c r="O6" s="80" t="s">
        <v>196</v>
      </c>
      <c r="P6" s="103">
        <f>COUNTIFS('Livros Finalizados'!$I:$I,"&gt;=01/03/2017",'Livros Finalizados'!$I:$I,"&lt;=31/03/2017")</f>
        <v>0</v>
      </c>
      <c r="Q6" s="80" t="s">
        <v>196</v>
      </c>
      <c r="R6" s="103">
        <f>COUNTIFS('Livros Finalizados'!$I:$I,"&gt;=01/03/2018",'Livros Finalizados'!$I:$I,"&lt;=31/03/2018")</f>
        <v>0</v>
      </c>
      <c r="S6" s="80" t="s">
        <v>196</v>
      </c>
      <c r="T6" s="103">
        <f>COUNTIFS('Livros Finalizados'!$I:$I,"&gt;=01/03/2019",'Livros Finalizados'!$I:$I,"&lt;=31/03/2019")</f>
        <v>0</v>
      </c>
      <c r="U6" s="80" t="s">
        <v>196</v>
      </c>
      <c r="V6" s="103">
        <f>COUNTIFS('Livros Finalizados'!$I:$I,"&gt;=01/03/2020",'Livros Finalizados'!$I:$I,"&lt;=31/03/2020")</f>
        <v>0</v>
      </c>
      <c r="W6" s="74"/>
      <c r="X6" s="117" t="s">
        <v>196</v>
      </c>
      <c r="Y6" s="124">
        <f t="shared" si="0"/>
        <v>0.625</v>
      </c>
      <c r="Z6" s="74"/>
    </row>
    <row r="7" spans="2:26" ht="15.75" x14ac:dyDescent="0.25">
      <c r="B7" s="69"/>
      <c r="C7" s="78" t="s">
        <v>197</v>
      </c>
      <c r="D7" s="76">
        <f>COUNTIFS('Livros Finalizados'!$I:$I,"&gt;=01/04/2011",'Livros Finalizados'!$I:$I,"&lt;=30/04/2011")</f>
        <v>0</v>
      </c>
      <c r="E7" s="80" t="s">
        <v>197</v>
      </c>
      <c r="F7" s="76">
        <f>COUNTIFS('Livros Finalizados'!$I:$I,"&gt;=01/04/2012",'Livros Finalizados'!$I:$I,"&lt;=30/04/2012")</f>
        <v>0</v>
      </c>
      <c r="G7" s="80" t="s">
        <v>197</v>
      </c>
      <c r="H7" s="76">
        <f>COUNTIFS('Livros Finalizados'!$I:$I,"&gt;=01/04/2013",'Livros Finalizados'!$I:$I,"&lt;=30/04/2013")</f>
        <v>0</v>
      </c>
      <c r="I7" s="80" t="s">
        <v>197</v>
      </c>
      <c r="J7" s="76">
        <f>COUNTIFS('Livros Finalizados'!$I:$I,"&gt;=01/04/2014",'Livros Finalizados'!$I:$I,"&lt;=30/04/2014")</f>
        <v>0</v>
      </c>
      <c r="K7" s="80" t="s">
        <v>197</v>
      </c>
      <c r="L7" s="103">
        <f>COUNTIFS('Livros Finalizados'!$I:$I,"&gt;=01/04/2015",'Livros Finalizados'!$I:$I,"&lt;=30/04/2015")</f>
        <v>0</v>
      </c>
      <c r="M7" s="100" t="s">
        <v>197</v>
      </c>
      <c r="N7" s="103">
        <f>COUNTIFS('Livros Finalizados'!$I:$I,"&gt;=01/04/2016",'Livros Finalizados'!$I:$I,"&lt;=30/04/2016")</f>
        <v>0</v>
      </c>
      <c r="O7" s="80" t="s">
        <v>197</v>
      </c>
      <c r="P7" s="103">
        <f>COUNTIFS('Livros Finalizados'!$I:$I,"&gt;=01/04/2017",'Livros Finalizados'!$I:$I,"&lt;=30/04/2017")</f>
        <v>1</v>
      </c>
      <c r="Q7" s="80" t="s">
        <v>197</v>
      </c>
      <c r="R7" s="103">
        <f>COUNTIFS('Livros Finalizados'!$I:$I,"&gt;=01/04/2018",'Livros Finalizados'!$I:$I,"&lt;=30/04/2018")</f>
        <v>0</v>
      </c>
      <c r="S7" s="80" t="s">
        <v>197</v>
      </c>
      <c r="T7" s="103">
        <f>COUNTIFS('Livros Finalizados'!$I:$I,"&gt;=01/04/2019",'Livros Finalizados'!$I:$I,"&lt;=30/04/2019")</f>
        <v>0</v>
      </c>
      <c r="U7" s="80" t="s">
        <v>197</v>
      </c>
      <c r="V7" s="103">
        <f>COUNTIFS('Livros Finalizados'!$I:$I,"&gt;=01/04/2020",'Livros Finalizados'!$I:$I,"&lt;=30/04/2020")</f>
        <v>0</v>
      </c>
      <c r="W7" s="74"/>
      <c r="X7" s="118" t="s">
        <v>197</v>
      </c>
      <c r="Y7" s="125">
        <f t="shared" si="0"/>
        <v>0.5625</v>
      </c>
      <c r="Z7" s="74"/>
    </row>
    <row r="8" spans="2:26" ht="15.75" x14ac:dyDescent="0.25">
      <c r="B8" s="69"/>
      <c r="C8" s="78" t="s">
        <v>198</v>
      </c>
      <c r="D8" s="76">
        <f>COUNTIFS('Livros Finalizados'!$I:$I,"&gt;=01/05/2011",'Livros Finalizados'!$I:$I,"&lt;=31/05/2011")</f>
        <v>0</v>
      </c>
      <c r="E8" s="80" t="s">
        <v>198</v>
      </c>
      <c r="F8" s="76">
        <f>COUNTIFS('Livros Finalizados'!$I:$I,"&gt;=01/05/2012",'Livros Finalizados'!$I:$I,"&lt;=31/05/2012")</f>
        <v>0</v>
      </c>
      <c r="G8" s="80" t="s">
        <v>198</v>
      </c>
      <c r="H8" s="76">
        <f>COUNTIFS('Livros Finalizados'!$I:$I,"&gt;=01/05/2013",'Livros Finalizados'!$I:$I,"&lt;=31/05/2013")</f>
        <v>0</v>
      </c>
      <c r="I8" s="80" t="s">
        <v>198</v>
      </c>
      <c r="J8" s="76">
        <f>COUNTIFS('Livros Finalizados'!$I:$I,"&gt;=01/05/2014",'Livros Finalizados'!$I:$I,"&lt;=31/05/2014")</f>
        <v>7</v>
      </c>
      <c r="K8" s="80" t="s">
        <v>198</v>
      </c>
      <c r="L8" s="103">
        <f>COUNTIFS('Livros Finalizados'!$I:$I,"&gt;=01/05/2015",'Livros Finalizados'!$I:$I,"&lt;=31/05/2015")</f>
        <v>0</v>
      </c>
      <c r="M8" s="100" t="s">
        <v>198</v>
      </c>
      <c r="N8" s="103">
        <f>COUNTIFS('Livros Finalizados'!$I:$I,"&gt;=01/05/2016",'Livros Finalizados'!$I:$I,"&lt;=31/05/2016")</f>
        <v>0</v>
      </c>
      <c r="O8" s="80" t="s">
        <v>198</v>
      </c>
      <c r="P8" s="103">
        <f>COUNTIFS('Livros Finalizados'!$I:$I,"&gt;=01/05/2017",'Livros Finalizados'!$I:$I,"&lt;=31/05/2017")</f>
        <v>2</v>
      </c>
      <c r="Q8" s="80" t="s">
        <v>198</v>
      </c>
      <c r="R8" s="103">
        <f>COUNTIFS('Livros Finalizados'!$I:$I,"&gt;=01/05/2018",'Livros Finalizados'!$I:$I,"&lt;=31/05/2018")</f>
        <v>0</v>
      </c>
      <c r="S8" s="80" t="s">
        <v>198</v>
      </c>
      <c r="T8" s="103">
        <f>COUNTIFS('Livros Finalizados'!$I:$I,"&gt;=01/05/2019",'Livros Finalizados'!$I:$I,"&lt;=31/05/2019")</f>
        <v>0</v>
      </c>
      <c r="U8" s="80" t="s">
        <v>198</v>
      </c>
      <c r="V8" s="103">
        <f>COUNTIFS('Livros Finalizados'!$I:$I,"&gt;=01/05/2020",'Livros Finalizados'!$I:$I,"&lt;=31/05/2020")</f>
        <v>0</v>
      </c>
      <c r="W8" s="74"/>
      <c r="X8" s="117" t="s">
        <v>198</v>
      </c>
      <c r="Y8" s="124">
        <f t="shared" si="0"/>
        <v>1.375</v>
      </c>
      <c r="Z8" s="74"/>
    </row>
    <row r="9" spans="2:26" ht="15.75" x14ac:dyDescent="0.25">
      <c r="B9" s="69"/>
      <c r="C9" s="78" t="s">
        <v>199</v>
      </c>
      <c r="D9" s="76">
        <f>COUNTIFS('Livros Finalizados'!$I:$I,"&gt;=01/06/2011",'Livros Finalizados'!$I:$I,"&lt;=30/06/2011")</f>
        <v>0</v>
      </c>
      <c r="E9" s="80" t="s">
        <v>199</v>
      </c>
      <c r="F9" s="76">
        <f>COUNTIFS('Livros Finalizados'!$I:$I,"&gt;=01/06/2012",'Livros Finalizados'!$I:$I,"&lt;=30/06/2012")</f>
        <v>1</v>
      </c>
      <c r="G9" s="80" t="s">
        <v>199</v>
      </c>
      <c r="H9" s="76">
        <f>COUNTIFS('Livros Finalizados'!$I:$I,"&gt;=01/06/2013",'Livros Finalizados'!$I:$I,"&lt;=30/06/2013")</f>
        <v>0</v>
      </c>
      <c r="I9" s="80" t="s">
        <v>199</v>
      </c>
      <c r="J9" s="76">
        <f>COUNTIFS('Livros Finalizados'!$I:$I,"&gt;=01/06/2014",'Livros Finalizados'!$I:$I,"&lt;=30/06/2014")</f>
        <v>3</v>
      </c>
      <c r="K9" s="80" t="s">
        <v>199</v>
      </c>
      <c r="L9" s="103">
        <f>COUNTIFS('Livros Finalizados'!$I:$I,"&gt;=01/06/2015",'Livros Finalizados'!$I:$I,"&lt;=30/06/2015")</f>
        <v>1</v>
      </c>
      <c r="M9" s="100" t="s">
        <v>199</v>
      </c>
      <c r="N9" s="103">
        <f>COUNTIFS('Livros Finalizados'!$I:$I,"&gt;=01/06/2016",'Livros Finalizados'!$I:$I,"&lt;=30/06/2016")</f>
        <v>2</v>
      </c>
      <c r="O9" s="80" t="s">
        <v>199</v>
      </c>
      <c r="P9" s="103">
        <f>COUNTIFS('Livros Finalizados'!$I:$I,"&gt;=01/06/2017",'Livros Finalizados'!$I:$I,"&lt;=30/06/2017")</f>
        <v>0</v>
      </c>
      <c r="Q9" s="80" t="s">
        <v>199</v>
      </c>
      <c r="R9" s="103">
        <f>COUNTIFS('Livros Finalizados'!$I:$I,"&gt;=01/06/2018",'Livros Finalizados'!$I:$I,"&lt;=30/06/2018")</f>
        <v>0</v>
      </c>
      <c r="S9" s="80" t="s">
        <v>199</v>
      </c>
      <c r="T9" s="103">
        <f>COUNTIFS('Livros Finalizados'!$I:$I,"&gt;=01/06/2019",'Livros Finalizados'!$I:$I,"&lt;=30/06/2019")</f>
        <v>0</v>
      </c>
      <c r="U9" s="80" t="s">
        <v>199</v>
      </c>
      <c r="V9" s="103">
        <f>COUNTIFS('Livros Finalizados'!$I:$I,"&gt;=01/06/2020",'Livros Finalizados'!$I:$I,"&lt;=30/06/2020")</f>
        <v>0</v>
      </c>
      <c r="W9" s="74"/>
      <c r="X9" s="118" t="s">
        <v>199</v>
      </c>
      <c r="Y9" s="125">
        <f t="shared" si="0"/>
        <v>1.9375</v>
      </c>
      <c r="Z9" s="74"/>
    </row>
    <row r="10" spans="2:26" ht="15.75" x14ac:dyDescent="0.25">
      <c r="B10" s="69"/>
      <c r="C10" s="78" t="s">
        <v>200</v>
      </c>
      <c r="D10" s="76">
        <f>COUNTIFS('Livros Finalizados'!$I:$I,"&gt;=01/07/2011",'Livros Finalizados'!$I:$I,"&lt;=31/07/2011")</f>
        <v>0</v>
      </c>
      <c r="E10" s="80" t="s">
        <v>200</v>
      </c>
      <c r="F10" s="76">
        <f>COUNTIFS('Livros Finalizados'!$I:$I,"&gt;=01/07/2012",'Livros Finalizados'!$I:$I,"&lt;=31/07/2012")</f>
        <v>0</v>
      </c>
      <c r="G10" s="80" t="s">
        <v>200</v>
      </c>
      <c r="H10" s="76">
        <f>COUNTIFS('Livros Finalizados'!$I:$I,"&gt;=01/07/2013",'Livros Finalizados'!$I:$I,"&lt;=31/07/2013")</f>
        <v>0</v>
      </c>
      <c r="I10" s="80" t="s">
        <v>200</v>
      </c>
      <c r="J10" s="76">
        <f>COUNTIFS('Livros Finalizados'!$I:$I,"&gt;=01/07/2014",'Livros Finalizados'!$I:$I,"&lt;=31/07/2014")</f>
        <v>3</v>
      </c>
      <c r="K10" s="80" t="s">
        <v>200</v>
      </c>
      <c r="L10" s="103">
        <f>COUNTIFS('Livros Finalizados'!$I:$I,"&gt;=01/07/2015",'Livros Finalizados'!$I:$I,"&lt;=31/07/2015")</f>
        <v>0</v>
      </c>
      <c r="M10" s="100" t="s">
        <v>200</v>
      </c>
      <c r="N10" s="103">
        <f>COUNTIFS('Livros Finalizados'!$I:$I,"&gt;=01/07/2016",'Livros Finalizados'!$I:$I,"&lt;=31/07/2016")</f>
        <v>2</v>
      </c>
      <c r="O10" s="80" t="s">
        <v>200</v>
      </c>
      <c r="P10" s="103">
        <f>COUNTIFS('Livros Finalizados'!$I:$I,"&gt;=01/07/2017",'Livros Finalizados'!$I:$I,"&lt;=31/07/2017")</f>
        <v>0</v>
      </c>
      <c r="Q10" s="80" t="s">
        <v>200</v>
      </c>
      <c r="R10" s="103">
        <f>COUNTIFS('Livros Finalizados'!$I:$I,"&gt;=01/07/2018",'Livros Finalizados'!$I:$I,"&lt;=31/07/2018")</f>
        <v>0</v>
      </c>
      <c r="S10" s="80" t="s">
        <v>200</v>
      </c>
      <c r="T10" s="103">
        <f>COUNTIFS('Livros Finalizados'!$I:$I,"&gt;=01/07/2019",'Livros Finalizados'!$I:$I,"&lt;=31/07/2019")</f>
        <v>0</v>
      </c>
      <c r="U10" s="80" t="s">
        <v>200</v>
      </c>
      <c r="V10" s="103">
        <f>COUNTIFS('Livros Finalizados'!$I:$I,"&gt;=01/07/2020",'Livros Finalizados'!$I:$I,"&lt;=31/07/2020")</f>
        <v>0</v>
      </c>
      <c r="W10" s="74"/>
      <c r="X10" s="117" t="s">
        <v>200</v>
      </c>
      <c r="Y10" s="124">
        <f t="shared" si="0"/>
        <v>1.4375</v>
      </c>
      <c r="Z10" s="74"/>
    </row>
    <row r="11" spans="2:26" ht="15.75" x14ac:dyDescent="0.25">
      <c r="B11" s="69"/>
      <c r="C11" s="78" t="s">
        <v>201</v>
      </c>
      <c r="D11" s="76">
        <f>COUNTIFS('Livros Finalizados'!$I:$I,"&gt;=01/08/2011",'Livros Finalizados'!$I:$I,"&lt;=31/08/2011")</f>
        <v>0</v>
      </c>
      <c r="E11" s="80" t="s">
        <v>201</v>
      </c>
      <c r="F11" s="76">
        <f>COUNTIFS('Livros Finalizados'!$I:$I,"&gt;=01/08/2012",'Livros Finalizados'!$I:$I,"&lt;=31/08/2012")</f>
        <v>1</v>
      </c>
      <c r="G11" s="80" t="s">
        <v>201</v>
      </c>
      <c r="H11" s="76">
        <f>COUNTIFS('Livros Finalizados'!$I:$I,"&gt;=01/08/2013",'Livros Finalizados'!$I:$I,"&lt;=31/08/2013")</f>
        <v>1</v>
      </c>
      <c r="I11" s="80" t="s">
        <v>201</v>
      </c>
      <c r="J11" s="76">
        <f>COUNTIFS('Livros Finalizados'!$I:$I,"&gt;=01/08/2014",'Livros Finalizados'!$I:$I,"&lt;=31/08/2014")</f>
        <v>1</v>
      </c>
      <c r="K11" s="80" t="s">
        <v>201</v>
      </c>
      <c r="L11" s="103">
        <f>COUNTIFS('Livros Finalizados'!$I:$I,"&gt;=01/08/2015",'Livros Finalizados'!$I:$I,"&lt;=31/08/2015")</f>
        <v>0</v>
      </c>
      <c r="M11" s="100" t="s">
        <v>201</v>
      </c>
      <c r="N11" s="103">
        <f>COUNTIFS('Livros Finalizados'!$I:$I,"&gt;=01/08/2016",'Livros Finalizados'!$I:$I,"&lt;=31/08/2016")</f>
        <v>1</v>
      </c>
      <c r="O11" s="80" t="s">
        <v>201</v>
      </c>
      <c r="P11" s="103">
        <f>COUNTIFS('Livros Finalizados'!$I:$I,"&gt;=01/08/2017",'Livros Finalizados'!$I:$I,"&lt;=31/08/2017")</f>
        <v>0</v>
      </c>
      <c r="Q11" s="80" t="s">
        <v>201</v>
      </c>
      <c r="R11" s="103">
        <f>COUNTIFS('Livros Finalizados'!$I:$I,"&gt;=01/08/2018",'Livros Finalizados'!$I:$I,"&lt;=31/08/2018")</f>
        <v>0</v>
      </c>
      <c r="S11" s="80" t="s">
        <v>201</v>
      </c>
      <c r="T11" s="103">
        <f>COUNTIFS('Livros Finalizados'!$I:$I,"&gt;=01/08/2019",'Livros Finalizados'!$I:$I,"&lt;=31/08/2019")</f>
        <v>1</v>
      </c>
      <c r="U11" s="80" t="s">
        <v>201</v>
      </c>
      <c r="V11" s="103">
        <f>COUNTIFS('Livros Finalizados'!$I:$I,"&gt;=01/08/2020",'Livros Finalizados'!$I:$I,"&lt;=31/08/2020")</f>
        <v>0</v>
      </c>
      <c r="W11" s="74"/>
      <c r="X11" s="118" t="s">
        <v>201</v>
      </c>
      <c r="Y11" s="125">
        <f t="shared" si="0"/>
        <v>0.875</v>
      </c>
      <c r="Z11" s="74"/>
    </row>
    <row r="12" spans="2:26" ht="15.75" x14ac:dyDescent="0.25">
      <c r="B12" s="69"/>
      <c r="C12" s="78" t="s">
        <v>202</v>
      </c>
      <c r="D12" s="76">
        <f>COUNTIFS('Livros Finalizados'!$I:$I,"&gt;=01/09/2011",'Livros Finalizados'!$I:$I,"&lt;=30/09/2011")</f>
        <v>1</v>
      </c>
      <c r="E12" s="80" t="s">
        <v>202</v>
      </c>
      <c r="F12" s="76">
        <f>COUNTIFS('Livros Finalizados'!$I:$I,"&gt;=01/09/2012",'Livros Finalizados'!$I:$I,"&lt;=30/09/2012")</f>
        <v>0</v>
      </c>
      <c r="G12" s="80" t="s">
        <v>202</v>
      </c>
      <c r="H12" s="76">
        <f>COUNTIFS('Livros Finalizados'!$I:$I,"&gt;=01/09/2013",'Livros Finalizados'!$I:$I,"&lt;=30/09/2013")</f>
        <v>1</v>
      </c>
      <c r="I12" s="80" t="s">
        <v>202</v>
      </c>
      <c r="J12" s="76">
        <f>COUNTIFS('Livros Finalizados'!$I:$I,"&gt;=01/09/2014",'Livros Finalizados'!$I:$I,"&lt;=30/09/2014")</f>
        <v>0</v>
      </c>
      <c r="K12" s="80" t="s">
        <v>202</v>
      </c>
      <c r="L12" s="103">
        <f>COUNTIFS('Livros Finalizados'!$I:$I,"&gt;=01/09/2015",'Livros Finalizados'!$I:$I,"&lt;=30/09/2015")</f>
        <v>0</v>
      </c>
      <c r="M12" s="100" t="s">
        <v>202</v>
      </c>
      <c r="N12" s="103">
        <f>COUNTIFS('Livros Finalizados'!$I:$I,"&gt;=01/09/2016",'Livros Finalizados'!$I:$I,"&lt;=30/09/2016")</f>
        <v>2</v>
      </c>
      <c r="O12" s="80" t="s">
        <v>202</v>
      </c>
      <c r="P12" s="103">
        <f>COUNTIFS('Livros Finalizados'!$I:$I,"&gt;=01/09/2017",'Livros Finalizados'!$I:$I,"&lt;=30/09/2017")</f>
        <v>0</v>
      </c>
      <c r="Q12" s="80" t="s">
        <v>202</v>
      </c>
      <c r="R12" s="103">
        <f>COUNTIFS('Livros Finalizados'!$I:$I,"&gt;=01/09/2018",'Livros Finalizados'!$I:$I,"&lt;=30/09/2018")</f>
        <v>0</v>
      </c>
      <c r="S12" s="80" t="s">
        <v>202</v>
      </c>
      <c r="T12" s="103">
        <f>COUNTIFS('Livros Finalizados'!$I:$I,"&gt;=01/09/2019",'Livros Finalizados'!$I:$I,"&lt;=30/09/2019")</f>
        <v>2</v>
      </c>
      <c r="U12" s="80" t="s">
        <v>202</v>
      </c>
      <c r="V12" s="103">
        <f>COUNTIFS('Livros Finalizados'!$I:$I,"&gt;=01/09/2020",'Livros Finalizados'!$I:$I,"&lt;=30/09/2020")</f>
        <v>0</v>
      </c>
      <c r="W12" s="74"/>
      <c r="X12" s="117" t="s">
        <v>202</v>
      </c>
      <c r="Y12" s="124">
        <f t="shared" si="0"/>
        <v>0.875</v>
      </c>
      <c r="Z12" s="74"/>
    </row>
    <row r="13" spans="2:26" ht="15.75" x14ac:dyDescent="0.25">
      <c r="B13" s="69"/>
      <c r="C13" s="78" t="s">
        <v>203</v>
      </c>
      <c r="D13" s="76">
        <f>COUNTIFS('Livros Finalizados'!$I:$I,"&gt;=01/10/2011",'Livros Finalizados'!$I:$I,"&lt;=31/10/2011")</f>
        <v>0</v>
      </c>
      <c r="E13" s="80" t="s">
        <v>203</v>
      </c>
      <c r="F13" s="76">
        <f>COUNTIFS('Livros Finalizados'!$I:$I,"&gt;=01/10/2012",'Livros Finalizados'!$I:$I,"&lt;=31/10/2012")</f>
        <v>0</v>
      </c>
      <c r="G13" s="80" t="s">
        <v>203</v>
      </c>
      <c r="H13" s="76">
        <f>COUNTIFS('Livros Finalizados'!$I:$I,"&gt;=01/10/2013",'Livros Finalizados'!$I:$I,"&lt;=31/10/2013")</f>
        <v>0</v>
      </c>
      <c r="I13" s="80" t="s">
        <v>203</v>
      </c>
      <c r="J13" s="76">
        <f>COUNTIFS('Livros Finalizados'!$I:$I,"&gt;=01/10/2014",'Livros Finalizados'!$I:$I,"&lt;=31/10/2014")</f>
        <v>0</v>
      </c>
      <c r="K13" s="80" t="s">
        <v>203</v>
      </c>
      <c r="L13" s="103">
        <f>COUNTIFS('Livros Finalizados'!$I:$I,"&gt;=01/10/2015",'Livros Finalizados'!$I:$I,"&lt;=31/10/2015")</f>
        <v>0</v>
      </c>
      <c r="M13" s="100" t="s">
        <v>203</v>
      </c>
      <c r="N13" s="103">
        <f>COUNTIFS('Livros Finalizados'!$I:$I,"&gt;=01/10/2016",'Livros Finalizados'!$I:$I,"&lt;=31/10/2016")</f>
        <v>1</v>
      </c>
      <c r="O13" s="80" t="s">
        <v>203</v>
      </c>
      <c r="P13" s="103">
        <f>COUNTIFS('Livros Finalizados'!$I:$I,"&gt;=01/10/2017",'Livros Finalizados'!$I:$I,"&lt;=31/10/2017")</f>
        <v>0</v>
      </c>
      <c r="Q13" s="80" t="s">
        <v>203</v>
      </c>
      <c r="R13" s="103">
        <f>COUNTIFS('Livros Finalizados'!$I:$I,"&gt;=01/10/2018",'Livros Finalizados'!$I:$I,"&lt;=31/10/2018")</f>
        <v>0</v>
      </c>
      <c r="S13" s="80" t="s">
        <v>203</v>
      </c>
      <c r="T13" s="103">
        <f>COUNTIFS('Livros Finalizados'!$I:$I,"&gt;=01/10/2019",'Livros Finalizados'!$I:$I,"&lt;=31/10/2019")</f>
        <v>2</v>
      </c>
      <c r="U13" s="80" t="s">
        <v>203</v>
      </c>
      <c r="V13" s="103">
        <f>COUNTIFS('Livros Finalizados'!$I:$I,"&gt;=01/10/2020",'Livros Finalizados'!$I:$I,"&lt;=31/10/2020")</f>
        <v>0</v>
      </c>
      <c r="W13" s="74"/>
      <c r="X13" s="118" t="s">
        <v>203</v>
      </c>
      <c r="Y13" s="125">
        <f t="shared" si="0"/>
        <v>0.6875</v>
      </c>
      <c r="Z13" s="74"/>
    </row>
    <row r="14" spans="2:26" ht="15.75" x14ac:dyDescent="0.25">
      <c r="B14" s="69"/>
      <c r="C14" s="78" t="s">
        <v>204</v>
      </c>
      <c r="D14" s="76">
        <f>COUNTIFS('Livros Finalizados'!$I:$I,"&gt;=01/11/2011",'Livros Finalizados'!$I:$I,"&lt;=30/11/2011")</f>
        <v>0</v>
      </c>
      <c r="E14" s="80" t="s">
        <v>204</v>
      </c>
      <c r="F14" s="76">
        <f>COUNTIFS('Livros Finalizados'!$I:$I,"&gt;=01/11/2012",'Livros Finalizados'!$I:$I,"&lt;=30/11/2012")</f>
        <v>0</v>
      </c>
      <c r="G14" s="80" t="s">
        <v>204</v>
      </c>
      <c r="H14" s="76">
        <f>COUNTIFS('Livros Finalizados'!$I:$I,"&gt;=01/11/2013",'Livros Finalizados'!$I:$I,"&lt;=30/11/2013")</f>
        <v>1</v>
      </c>
      <c r="I14" s="80" t="s">
        <v>204</v>
      </c>
      <c r="J14" s="76">
        <f>COUNTIFS('Livros Finalizados'!$I:$I,"&gt;=01/11/2014",'Livros Finalizados'!$I:$I,"&lt;=30/11/2014")</f>
        <v>0</v>
      </c>
      <c r="K14" s="80" t="s">
        <v>204</v>
      </c>
      <c r="L14" s="103">
        <f>COUNTIFS('Livros Finalizados'!$I:$I,"&gt;=01/11/2015",'Livros Finalizados'!$I:$I,"&lt;=30/11/2015")</f>
        <v>0</v>
      </c>
      <c r="M14" s="100" t="s">
        <v>204</v>
      </c>
      <c r="N14" s="103">
        <f>COUNTIFS('Livros Finalizados'!$I:$I,"&gt;=01/11/2016",'Livros Finalizados'!$I:$I,"&lt;=30/11/2016")</f>
        <v>2</v>
      </c>
      <c r="O14" s="80" t="s">
        <v>204</v>
      </c>
      <c r="P14" s="103">
        <f>COUNTIFS('Livros Finalizados'!$I:$I,"&gt;=01/11/2017",'Livros Finalizados'!$I:$I,"&lt;=30/11/2017")</f>
        <v>0</v>
      </c>
      <c r="Q14" s="80" t="s">
        <v>204</v>
      </c>
      <c r="R14" s="103">
        <f>COUNTIFS('Livros Finalizados'!$I:$I,"&gt;=01/11/2018",'Livros Finalizados'!$I:$I,"&lt;=30/11/2018")</f>
        <v>0</v>
      </c>
      <c r="S14" s="80" t="s">
        <v>204</v>
      </c>
      <c r="T14" s="103">
        <f>COUNTIFS('Livros Finalizados'!$I:$I,"&gt;=01/11/2019",'Livros Finalizados'!$I:$I,"&lt;=30/11/2019")</f>
        <v>2</v>
      </c>
      <c r="U14" s="80" t="s">
        <v>204</v>
      </c>
      <c r="V14" s="103">
        <f>COUNTIFS('Livros Finalizados'!$I:$I,"&gt;=01/11/2020",'Livros Finalizados'!$I:$I,"&lt;=30/11/2020")</f>
        <v>0</v>
      </c>
      <c r="W14" s="74"/>
      <c r="X14" s="117" t="s">
        <v>204</v>
      </c>
      <c r="Y14" s="124">
        <f t="shared" si="0"/>
        <v>1.1875</v>
      </c>
      <c r="Z14" s="74"/>
    </row>
    <row r="15" spans="2:26" ht="16.5" thickBot="1" x14ac:dyDescent="0.3">
      <c r="B15" s="69"/>
      <c r="C15" s="78" t="s">
        <v>205</v>
      </c>
      <c r="D15" s="76">
        <f>COUNTIFS('Livros Finalizados'!$I:$I,"&gt;=01/12/2011",'Livros Finalizados'!$I:$I,"&lt;=31/12/2011")</f>
        <v>1</v>
      </c>
      <c r="E15" s="80" t="s">
        <v>205</v>
      </c>
      <c r="F15" s="76">
        <f>COUNTIFS('Livros Finalizados'!$I:$I,"&gt;=01/12/2012",'Livros Finalizados'!$I:$I,"&lt;=31/12/2012")</f>
        <v>0</v>
      </c>
      <c r="G15" s="80" t="s">
        <v>205</v>
      </c>
      <c r="H15" s="76">
        <f>COUNTIFS('Livros Finalizados'!$I:$I,"&gt;=01/12/2013",'Livros Finalizados'!$I:$I,"&lt;=31/12/2013")</f>
        <v>0</v>
      </c>
      <c r="I15" s="80" t="s">
        <v>205</v>
      </c>
      <c r="J15" s="76">
        <f>COUNTIFS('Livros Finalizados'!$I:$I,"&gt;=01/12/2014",'Livros Finalizados'!$I:$I,"&lt;=31/12/2014")</f>
        <v>0</v>
      </c>
      <c r="K15" s="80" t="s">
        <v>205</v>
      </c>
      <c r="L15" s="103">
        <f>COUNTIFS('Livros Finalizados'!$I:$I,"&gt;=01/12/2015",'Livros Finalizados'!$I:$I,"&lt;=31/12/2015")</f>
        <v>0</v>
      </c>
      <c r="M15" s="100" t="s">
        <v>205</v>
      </c>
      <c r="N15" s="103">
        <f>COUNTIFS('Livros Finalizados'!$I:$I,"&gt;=01/12/2016",'Livros Finalizados'!$I:$I,"&lt;=31/12/2016")</f>
        <v>0</v>
      </c>
      <c r="O15" s="80" t="s">
        <v>205</v>
      </c>
      <c r="P15" s="103">
        <f>COUNTIFS('Livros Finalizados'!$I:$I,"&gt;=01/12/2017",'Livros Finalizados'!$I:$I,"&lt;=31/12/2017")</f>
        <v>0</v>
      </c>
      <c r="Q15" s="80" t="s">
        <v>205</v>
      </c>
      <c r="R15" s="103">
        <f>COUNTIFS('Livros Finalizados'!$I:$I,"&gt;=01/12/2018",'Livros Finalizados'!$I:$I,"&lt;=31/12/2018")</f>
        <v>0</v>
      </c>
      <c r="S15" s="80" t="s">
        <v>205</v>
      </c>
      <c r="T15" s="103">
        <f>COUNTIFS('Livros Finalizados'!$I:$I,"&gt;=01/12/2019",'Livros Finalizados'!$I:$I,"&lt;=31/12/2019")</f>
        <v>0</v>
      </c>
      <c r="U15" s="80" t="s">
        <v>205</v>
      </c>
      <c r="V15" s="103">
        <f>COUNTIFS('Livros Finalizados'!$I:$I,"&gt;=01/12/2020",'Livros Finalizados'!$I:$I,"&lt;=31/12/2020")</f>
        <v>0</v>
      </c>
      <c r="W15" s="74"/>
      <c r="X15" s="120" t="s">
        <v>205</v>
      </c>
      <c r="Y15" s="126">
        <f t="shared" si="0"/>
        <v>1</v>
      </c>
      <c r="Z15" s="74"/>
    </row>
    <row r="16" spans="2:26" ht="17.25" thickTop="1" thickBot="1" x14ac:dyDescent="0.3">
      <c r="B16" s="69"/>
      <c r="C16" s="88" t="s">
        <v>2</v>
      </c>
      <c r="D16" s="89">
        <f>SUM(D4:D15)</f>
        <v>2</v>
      </c>
      <c r="E16" s="72" t="s">
        <v>2</v>
      </c>
      <c r="F16" s="89">
        <f t="shared" ref="F16" si="1">SUM(F4:F15)</f>
        <v>2</v>
      </c>
      <c r="G16" s="80" t="s">
        <v>194</v>
      </c>
      <c r="H16" s="89">
        <f t="shared" ref="H16" si="2">SUM(H4:H15)</f>
        <v>3</v>
      </c>
      <c r="I16" s="72" t="s">
        <v>2</v>
      </c>
      <c r="J16" s="89">
        <f t="shared" ref="J16" si="3">SUM(J4:J15)</f>
        <v>15</v>
      </c>
      <c r="K16" s="72" t="s">
        <v>2</v>
      </c>
      <c r="L16" s="72">
        <f t="shared" ref="L16" si="4">SUM(L4:L15)</f>
        <v>2</v>
      </c>
      <c r="M16" s="73" t="s">
        <v>2</v>
      </c>
      <c r="N16" s="89">
        <f>SUM(N4:N15)</f>
        <v>10</v>
      </c>
      <c r="O16" s="72" t="s">
        <v>2</v>
      </c>
      <c r="P16" s="89">
        <f t="shared" ref="P16" si="5">SUM(P4:P15)</f>
        <v>4</v>
      </c>
      <c r="Q16" s="72" t="s">
        <v>2</v>
      </c>
      <c r="R16" s="89">
        <f t="shared" ref="R16" si="6">SUM(R4:R15)</f>
        <v>0</v>
      </c>
      <c r="S16" s="72" t="s">
        <v>2</v>
      </c>
      <c r="T16" s="89">
        <f t="shared" ref="T16" si="7">SUM(T4:T15)</f>
        <v>7</v>
      </c>
      <c r="U16" s="72" t="s">
        <v>2</v>
      </c>
      <c r="V16" s="102">
        <f t="shared" ref="V16" si="8">SUM(V4:V15)</f>
        <v>0</v>
      </c>
      <c r="W16" s="74"/>
      <c r="X16" s="119" t="s">
        <v>2</v>
      </c>
      <c r="Y16" s="85">
        <f>AVERAGE(Y4:Y15)</f>
        <v>0.97916666666666663</v>
      </c>
      <c r="Z16" s="74"/>
    </row>
    <row r="17" spans="2:26" ht="8.1" customHeight="1" thickTop="1" thickBot="1" x14ac:dyDescent="0.3">
      <c r="B17" s="69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05"/>
      <c r="V17" s="105"/>
      <c r="W17" s="87"/>
      <c r="X17" s="67"/>
      <c r="Y17" s="87"/>
      <c r="Z17" s="74"/>
    </row>
    <row r="18" spans="2:26" ht="17.25" thickTop="1" thickBot="1" x14ac:dyDescent="0.3">
      <c r="B18" s="69"/>
      <c r="C18" s="95">
        <v>2021</v>
      </c>
      <c r="D18" s="96" t="s">
        <v>0</v>
      </c>
      <c r="E18" s="97">
        <v>2022</v>
      </c>
      <c r="F18" s="96" t="s">
        <v>0</v>
      </c>
      <c r="G18" s="97">
        <v>2023</v>
      </c>
      <c r="H18" s="96" t="s">
        <v>0</v>
      </c>
      <c r="I18" s="97">
        <v>2024</v>
      </c>
      <c r="J18" s="96" t="s">
        <v>0</v>
      </c>
      <c r="K18" s="97">
        <v>2025</v>
      </c>
      <c r="L18" s="96" t="s">
        <v>0</v>
      </c>
      <c r="M18" s="97">
        <v>2026</v>
      </c>
      <c r="N18" s="96" t="s">
        <v>0</v>
      </c>
      <c r="O18" s="97">
        <v>2027</v>
      </c>
      <c r="P18" s="96" t="s">
        <v>0</v>
      </c>
      <c r="Q18" s="97">
        <v>2028</v>
      </c>
      <c r="R18" s="72" t="s">
        <v>0</v>
      </c>
      <c r="S18" s="73">
        <v>2029</v>
      </c>
      <c r="T18" s="96" t="s">
        <v>0</v>
      </c>
      <c r="U18" s="97">
        <v>2030</v>
      </c>
      <c r="V18" s="96" t="s">
        <v>0</v>
      </c>
      <c r="W18" s="74"/>
      <c r="X18" s="121" t="s">
        <v>2</v>
      </c>
      <c r="Y18" s="107">
        <f>SUM(D16,F16,H16,J16,L16,N16,P16,R16,T16,V16,D31,F31,H31,J31,L31,N31,P31)</f>
        <v>188</v>
      </c>
      <c r="Z18" s="90"/>
    </row>
    <row r="19" spans="2:26" ht="17.25" thickTop="1" thickBot="1" x14ac:dyDescent="0.3">
      <c r="B19" s="90"/>
      <c r="C19" s="75" t="s">
        <v>194</v>
      </c>
      <c r="D19" s="99">
        <f>COUNTIFS('Livros Finalizados'!$I:$I,"&gt;=01/01/2021",'Livros Finalizados'!$I:$I,"&lt;=31/01/2021")</f>
        <v>0</v>
      </c>
      <c r="E19" s="77" t="s">
        <v>194</v>
      </c>
      <c r="F19" s="99">
        <f>COUNTIFS('Livros Finalizados'!$I:$I,"&gt;=01/01/2022",'Livros Finalizados'!$I:$I,"&lt;=31/01/2022")</f>
        <v>4</v>
      </c>
      <c r="G19" s="77" t="s">
        <v>194</v>
      </c>
      <c r="H19" s="99">
        <f>COUNTIFS('Livros Finalizados'!$I:$I,"&gt;=01/01/2023",'Livros Finalizados'!$I:$I,"&lt;=31/01/2023")</f>
        <v>0</v>
      </c>
      <c r="I19" s="77" t="s">
        <v>194</v>
      </c>
      <c r="J19" s="99">
        <f>COUNTIFS('Livros Finalizados'!$I:$I,"&gt;=01/01/2024",'Livros Finalizados'!$I:$I,"&lt;=31/01/2024")</f>
        <v>1</v>
      </c>
      <c r="K19" s="77" t="s">
        <v>194</v>
      </c>
      <c r="L19" s="99">
        <f>COUNTIFS('Livros Finalizados'!$I:$I,"&gt;=01/01/2025",'Livros Finalizados'!$I:$I,"&lt;=31/01/2025")</f>
        <v>2</v>
      </c>
      <c r="M19" s="101" t="s">
        <v>194</v>
      </c>
      <c r="N19" s="76">
        <f>COUNTIFS('Livros Finalizados'!$I:$I,"&gt;=01/01/2026",'Livros Finalizados'!$I:$I,"&lt;=31/01/2026")</f>
        <v>2</v>
      </c>
      <c r="O19" s="77" t="s">
        <v>194</v>
      </c>
      <c r="P19" s="76">
        <f>COUNTIFS('Livros Finalizados'!$I:$I,"&gt;=01/01/2027",'Livros Finalizados'!$I:$I,"&lt;=31/01/2027")</f>
        <v>0</v>
      </c>
      <c r="Q19" s="77" t="s">
        <v>194</v>
      </c>
      <c r="R19" s="76"/>
      <c r="S19" s="77" t="s">
        <v>194</v>
      </c>
      <c r="T19" s="76"/>
      <c r="U19" s="77" t="s">
        <v>194</v>
      </c>
      <c r="V19" s="76">
        <v>0</v>
      </c>
      <c r="W19" s="87"/>
      <c r="X19" s="93"/>
      <c r="Y19" s="93"/>
      <c r="Z19" s="94"/>
    </row>
    <row r="20" spans="2:26" ht="16.5" thickTop="1" x14ac:dyDescent="0.25">
      <c r="B20" s="90"/>
      <c r="C20" s="78" t="s">
        <v>195</v>
      </c>
      <c r="D20" s="103">
        <f>COUNTIFS('Livros Finalizados'!$I:$I,"&gt;=01/02/2021",'Livros Finalizados'!$I:$I,"&lt;=28/02/2021")</f>
        <v>0</v>
      </c>
      <c r="E20" s="80" t="s">
        <v>195</v>
      </c>
      <c r="F20" s="103">
        <f>COUNTIFS('Livros Finalizados'!$I:$I,"&gt;=01/02/2022",'Livros Finalizados'!$I:$I,"&lt;=28/02/2022")</f>
        <v>3</v>
      </c>
      <c r="G20" s="80" t="s">
        <v>195</v>
      </c>
      <c r="H20" s="103">
        <f>COUNTIFS('Livros Finalizados'!$I:$I,"&gt;=01/02/2023",'Livros Finalizados'!$I:$I,"&lt;=28/02/2023")</f>
        <v>0</v>
      </c>
      <c r="I20" s="80" t="s">
        <v>195</v>
      </c>
      <c r="J20" s="103">
        <f>COUNTIFS('Livros Finalizados'!$I:$I,"&gt;=01/02/2024",'Livros Finalizados'!$I:$I,"&lt;=29/02/2024")</f>
        <v>0</v>
      </c>
      <c r="K20" s="80" t="s">
        <v>195</v>
      </c>
      <c r="L20" s="103">
        <f>COUNTIFS('Livros Finalizados'!$I:$I,"&gt;=01/02/2025",'Livros Finalizados'!$I:$I,"&lt;=28/02/2025")</f>
        <v>2</v>
      </c>
      <c r="M20" s="100" t="s">
        <v>195</v>
      </c>
      <c r="N20" s="79">
        <f>COUNTIFS('Livros Finalizados'!$I:$I,"&gt;=01/02/2026",'Livros Finalizados'!$I:$I,"&lt;=28/02/2026")</f>
        <v>2</v>
      </c>
      <c r="O20" s="80" t="s">
        <v>195</v>
      </c>
      <c r="P20" s="79">
        <f>COUNTIFS('Livros Finalizados'!$I:$I,"&gt;=01/02/2027",'Livros Finalizados'!$I:$I,"&lt;=28/02/2027")</f>
        <v>0</v>
      </c>
      <c r="Q20" s="80" t="s">
        <v>195</v>
      </c>
      <c r="R20" s="79"/>
      <c r="S20" s="80" t="s">
        <v>195</v>
      </c>
      <c r="T20" s="79"/>
      <c r="U20" s="80" t="s">
        <v>195</v>
      </c>
      <c r="V20" s="79">
        <v>0</v>
      </c>
      <c r="W20" s="74"/>
    </row>
    <row r="21" spans="2:26" ht="15.75" x14ac:dyDescent="0.25">
      <c r="B21" s="90"/>
      <c r="C21" s="78" t="s">
        <v>196</v>
      </c>
      <c r="D21" s="103">
        <f>COUNTIFS('Livros Finalizados'!$I:$I,"&gt;=01/03/2021",'Livros Finalizados'!$I:$I,"&lt;=31/03/2021")</f>
        <v>0</v>
      </c>
      <c r="E21" s="80" t="s">
        <v>196</v>
      </c>
      <c r="F21" s="103">
        <f>COUNTIFS('Livros Finalizados'!$I:$I,"&gt;=01/03/2022",'Livros Finalizados'!$I:$I,"&lt;=31/03/2022")</f>
        <v>0</v>
      </c>
      <c r="G21" s="80" t="s">
        <v>196</v>
      </c>
      <c r="H21" s="103">
        <f>COUNTIFS('Livros Finalizados'!$I:$I,"&gt;=01/03/2023",'Livros Finalizados'!$I:$I,"&lt;=31/03/2023")</f>
        <v>0</v>
      </c>
      <c r="I21" s="80" t="s">
        <v>196</v>
      </c>
      <c r="J21" s="103">
        <f>COUNTIFS('Livros Finalizados'!$I:$I,"&gt;=01/03/2024",'Livros Finalizados'!$I:$I,"&lt;=31/03/2024")</f>
        <v>4</v>
      </c>
      <c r="K21" s="80" t="s">
        <v>196</v>
      </c>
      <c r="L21" s="103">
        <f>COUNTIFS('Livros Finalizados'!$I:$I,"&gt;=01/03/2025",'Livros Finalizados'!$I:$I,"&lt;=31/03/2025")</f>
        <v>4</v>
      </c>
      <c r="M21" s="100" t="s">
        <v>196</v>
      </c>
      <c r="N21" s="79">
        <f>COUNTIFS('Livros Finalizados'!$I:$I,"&gt;=01/03/2026",'Livros Finalizados'!$I:$I,"&lt;=31/03/2026")</f>
        <v>2</v>
      </c>
      <c r="O21" s="80" t="s">
        <v>196</v>
      </c>
      <c r="P21" s="79">
        <f>COUNTIFS('Livros Finalizados'!$I:$I,"&gt;=01/03/2027",'Livros Finalizados'!$I:$I,"&lt;=31/03/2027")</f>
        <v>0</v>
      </c>
      <c r="Q21" s="80" t="s">
        <v>196</v>
      </c>
      <c r="R21" s="79"/>
      <c r="S21" s="80" t="s">
        <v>196</v>
      </c>
      <c r="T21" s="79"/>
      <c r="U21" s="80" t="s">
        <v>196</v>
      </c>
      <c r="V21" s="79">
        <v>0</v>
      </c>
      <c r="W21" s="74"/>
    </row>
    <row r="22" spans="2:26" ht="15.75" x14ac:dyDescent="0.25">
      <c r="B22" s="90"/>
      <c r="C22" s="78" t="s">
        <v>197</v>
      </c>
      <c r="D22" s="103">
        <f>COUNTIFS('Livros Finalizados'!$I:$I,"&gt;=01/04/2021",'Livros Finalizados'!$I:$I,"&lt;=30/04/2021")</f>
        <v>0</v>
      </c>
      <c r="E22" s="80" t="s">
        <v>197</v>
      </c>
      <c r="F22" s="103">
        <f>COUNTIFS('Livros Finalizados'!$I:$I,"&gt;=01/04/2022",'Livros Finalizados'!$I:$I,"&lt;=30/04/2022")</f>
        <v>0</v>
      </c>
      <c r="G22" s="80" t="s">
        <v>197</v>
      </c>
      <c r="H22" s="103">
        <f>COUNTIFS('Livros Finalizados'!$I:$I,"&gt;=01/04/2023",'Livros Finalizados'!$I:$I,"&lt;=30/04/2023")</f>
        <v>0</v>
      </c>
      <c r="I22" s="80" t="s">
        <v>197</v>
      </c>
      <c r="J22" s="103">
        <f>COUNTIFS('Livros Finalizados'!$I:$I,"&gt;=01/04/2024",'Livros Finalizados'!$I:$I,"&lt;=30/04/2024")</f>
        <v>1</v>
      </c>
      <c r="K22" s="80" t="s">
        <v>197</v>
      </c>
      <c r="L22" s="103">
        <f>COUNTIFS('Livros Finalizados'!$I:$I,"&gt;=01/04/2025",'Livros Finalizados'!$I:$I,"&lt;=30/04/2025")</f>
        <v>3</v>
      </c>
      <c r="M22" s="100" t="s">
        <v>197</v>
      </c>
      <c r="N22" s="79">
        <f>COUNTIFS('Livros Finalizados'!$I:$I,"&gt;=01/04/2026",'Livros Finalizados'!$I:$I,"&lt;=30/04/2026")</f>
        <v>4</v>
      </c>
      <c r="O22" s="80" t="s">
        <v>197</v>
      </c>
      <c r="P22" s="79">
        <f>COUNTIFS('Livros Finalizados'!$I:$I,"&gt;=01/04/2027",'Livros Finalizados'!$I:$I,"&lt;=30/04/2027")</f>
        <v>0</v>
      </c>
      <c r="Q22" s="80" t="s">
        <v>197</v>
      </c>
      <c r="R22" s="79"/>
      <c r="S22" s="80" t="s">
        <v>197</v>
      </c>
      <c r="T22" s="79"/>
      <c r="U22" s="80" t="s">
        <v>197</v>
      </c>
      <c r="V22" s="79">
        <v>0</v>
      </c>
      <c r="W22" s="74"/>
    </row>
    <row r="23" spans="2:26" ht="15.75" x14ac:dyDescent="0.25">
      <c r="B23" s="90"/>
      <c r="C23" s="78" t="s">
        <v>198</v>
      </c>
      <c r="D23" s="103">
        <f>COUNTIFS('Livros Finalizados'!$I:$I,"&gt;=01/05/2021",'Livros Finalizados'!$I:$I,"&lt;=31/05/2021")</f>
        <v>0</v>
      </c>
      <c r="E23" s="80" t="s">
        <v>198</v>
      </c>
      <c r="F23" s="103">
        <f>COUNTIFS('Livros Finalizados'!$I:$I,"&gt;=01/05/2022",'Livros Finalizados'!$I:$I,"&lt;=31/05/2022")</f>
        <v>0</v>
      </c>
      <c r="G23" s="80" t="s">
        <v>198</v>
      </c>
      <c r="H23" s="103">
        <f>COUNTIFS('Livros Finalizados'!$I:$I,"&gt;=01/05/2023",'Livros Finalizados'!$I:$I,"&lt;=31/05/2023")</f>
        <v>0</v>
      </c>
      <c r="I23" s="80" t="s">
        <v>198</v>
      </c>
      <c r="J23" s="103">
        <f>COUNTIFS('Livros Finalizados'!$I:$I,"&gt;=01/05/2024",'Livros Finalizados'!$I:$I,"&lt;=31/05/2024")</f>
        <v>9</v>
      </c>
      <c r="K23" s="80" t="s">
        <v>198</v>
      </c>
      <c r="L23" s="103">
        <f>COUNTIFS('Livros Finalizados'!$I:$I,"&gt;=01/05/2025",'Livros Finalizados'!$I:$I,"&lt;=31/05/2025")</f>
        <v>2</v>
      </c>
      <c r="M23" s="100" t="s">
        <v>198</v>
      </c>
      <c r="N23" s="79">
        <f>COUNTIFS('Livros Finalizados'!$I:$I,"&gt;=01/05/2026",'Livros Finalizados'!$I:$I,"&lt;=31/05/2026")</f>
        <v>2</v>
      </c>
      <c r="O23" s="80" t="s">
        <v>198</v>
      </c>
      <c r="P23" s="79">
        <f>COUNTIFS('Livros Finalizados'!$I:$I,"&gt;=01/05/2027",'Livros Finalizados'!$I:$I,"&lt;=31/05/2027")</f>
        <v>0</v>
      </c>
      <c r="Q23" s="80" t="s">
        <v>198</v>
      </c>
      <c r="R23" s="79"/>
      <c r="S23" s="80" t="s">
        <v>198</v>
      </c>
      <c r="T23" s="79"/>
      <c r="U23" s="80" t="s">
        <v>198</v>
      </c>
      <c r="V23" s="79">
        <v>0</v>
      </c>
      <c r="W23" s="74"/>
    </row>
    <row r="24" spans="2:26" ht="15.75" x14ac:dyDescent="0.25">
      <c r="B24" s="90"/>
      <c r="C24" s="78" t="s">
        <v>199</v>
      </c>
      <c r="D24" s="103">
        <f>COUNTIFS('Livros Finalizados'!$I:$I,"&gt;=01/06/2021",'Livros Finalizados'!$I:$I,"&lt;=30/06/2021")</f>
        <v>0</v>
      </c>
      <c r="E24" s="80" t="s">
        <v>199</v>
      </c>
      <c r="F24" s="103">
        <f>COUNTIFS('Livros Finalizados'!$I:$I,"&gt;=01/06/2022",'Livros Finalizados'!$I:$I,"&lt;=30/06/2022")</f>
        <v>0</v>
      </c>
      <c r="G24" s="80" t="s">
        <v>199</v>
      </c>
      <c r="H24" s="103">
        <f>COUNTIFS('Livros Finalizados'!$I:$I,"&gt;=01/06/2023",'Livros Finalizados'!$I:$I,"&lt;=30/06/2023")</f>
        <v>0</v>
      </c>
      <c r="I24" s="80" t="s">
        <v>199</v>
      </c>
      <c r="J24" s="103">
        <f>COUNTIFS('Livros Finalizados'!$I:$I,"&gt;=01/06/2024",'Livros Finalizados'!$I:$I,"&lt;=30/06/2024")</f>
        <v>16</v>
      </c>
      <c r="K24" s="80" t="s">
        <v>199</v>
      </c>
      <c r="L24" s="103">
        <f>COUNTIFS('Livros Finalizados'!$I:$I,"&gt;=01/06/2025",'Livros Finalizados'!$I:$I,"&lt;=30/06/2025")</f>
        <v>4</v>
      </c>
      <c r="M24" s="100" t="s">
        <v>199</v>
      </c>
      <c r="N24" s="79">
        <f>COUNTIFS('Livros Finalizados'!$I:$I,"&gt;=01/06/2026",'Livros Finalizados'!$I:$I,"&lt;=30/06/2026")</f>
        <v>4</v>
      </c>
      <c r="O24" s="80" t="s">
        <v>199</v>
      </c>
      <c r="P24" s="79">
        <f>COUNTIFS('Livros Finalizados'!$I:$I,"&gt;=01/06/2027",'Livros Finalizados'!$I:$I,"&lt;=30/06/2027")</f>
        <v>0</v>
      </c>
      <c r="Q24" s="80" t="s">
        <v>199</v>
      </c>
      <c r="R24" s="79"/>
      <c r="S24" s="80" t="s">
        <v>199</v>
      </c>
      <c r="T24" s="79"/>
      <c r="U24" s="80" t="s">
        <v>199</v>
      </c>
      <c r="V24" s="79">
        <v>0</v>
      </c>
      <c r="W24" s="74"/>
    </row>
    <row r="25" spans="2:26" ht="15.75" x14ac:dyDescent="0.25">
      <c r="B25" s="90"/>
      <c r="C25" s="78" t="s">
        <v>200</v>
      </c>
      <c r="D25" s="103">
        <f>COUNTIFS('Livros Finalizados'!$I:$I,"&gt;=01/07/2021",'Livros Finalizados'!$I:$I,"&lt;=31/07/2021")</f>
        <v>0</v>
      </c>
      <c r="E25" s="80" t="s">
        <v>200</v>
      </c>
      <c r="F25" s="103">
        <f>COUNTIFS('Livros Finalizados'!$I:$I,"&gt;=01/07/2022",'Livros Finalizados'!$I:$I,"&lt;=31/07/2022")</f>
        <v>0</v>
      </c>
      <c r="G25" s="80" t="s">
        <v>200</v>
      </c>
      <c r="H25" s="103">
        <f>COUNTIFS('Livros Finalizados'!$I:$I,"&gt;=01/07/2023",'Livros Finalizados'!$I:$I,"&lt;=31/07/2023")</f>
        <v>0</v>
      </c>
      <c r="I25" s="80" t="s">
        <v>200</v>
      </c>
      <c r="J25" s="103">
        <f>COUNTIFS('Livros Finalizados'!$I:$I,"&gt;=01/07/2024",'Livros Finalizados'!$I:$I,"&lt;=31/07/2024")</f>
        <v>9</v>
      </c>
      <c r="K25" s="80" t="s">
        <v>200</v>
      </c>
      <c r="L25" s="103">
        <f>COUNTIFS('Livros Finalizados'!$I:$I,"&gt;=01/07/2025",'Livros Finalizados'!$I:$I,"&lt;=31/07/2025")</f>
        <v>7</v>
      </c>
      <c r="M25" s="100" t="s">
        <v>200</v>
      </c>
      <c r="N25" s="79">
        <f>COUNTIFS('Livros Finalizados'!$I:$I,"&gt;=01/07/2026",'Livros Finalizados'!$I:$I,"&lt;=31/07/2026")</f>
        <v>2</v>
      </c>
      <c r="O25" s="80" t="s">
        <v>200</v>
      </c>
      <c r="P25" s="79">
        <f>COUNTIFS('Livros Finalizados'!$I:$I,"&gt;=01/07/2027",'Livros Finalizados'!$I:$I,"&lt;=31/07/2027")</f>
        <v>0</v>
      </c>
      <c r="Q25" s="80" t="s">
        <v>200</v>
      </c>
      <c r="R25" s="79"/>
      <c r="S25" s="80" t="s">
        <v>200</v>
      </c>
      <c r="T25" s="79"/>
      <c r="U25" s="80" t="s">
        <v>200</v>
      </c>
      <c r="V25" s="79">
        <v>0</v>
      </c>
      <c r="W25" s="74"/>
    </row>
    <row r="26" spans="2:26" ht="15.75" x14ac:dyDescent="0.25">
      <c r="B26" s="90"/>
      <c r="C26" s="78" t="s">
        <v>201</v>
      </c>
      <c r="D26" s="103">
        <f>COUNTIFS('Livros Finalizados'!$I:$I,"&gt;=01/08/2021",'Livros Finalizados'!$I:$I,"&lt;=31/08/2021")</f>
        <v>0</v>
      </c>
      <c r="E26" s="80" t="s">
        <v>201</v>
      </c>
      <c r="F26" s="103">
        <f>COUNTIFS('Livros Finalizados'!$I:$I,"&gt;=01/08/2022",'Livros Finalizados'!$I:$I,"&lt;=31/08/2022")</f>
        <v>0</v>
      </c>
      <c r="G26" s="80" t="s">
        <v>201</v>
      </c>
      <c r="H26" s="103">
        <f>COUNTIFS('Livros Finalizados'!$I:$I,"&gt;=01/08/2023",'Livros Finalizados'!$I:$I,"&lt;=31/08/2023")</f>
        <v>0</v>
      </c>
      <c r="I26" s="80" t="s">
        <v>201</v>
      </c>
      <c r="J26" s="103">
        <f>COUNTIFS('Livros Finalizados'!$I:$I,"&gt;=01/08/2024",'Livros Finalizados'!$I:$I,"&lt;=31/08/2024")</f>
        <v>6</v>
      </c>
      <c r="K26" s="80" t="s">
        <v>201</v>
      </c>
      <c r="L26" s="103">
        <f>COUNTIFS('Livros Finalizados'!$I:$I,"&gt;=01/08/2025",'Livros Finalizados'!$I:$I,"&lt;=31/08/2025")</f>
        <v>1</v>
      </c>
      <c r="M26" s="100" t="s">
        <v>201</v>
      </c>
      <c r="N26" s="79">
        <f>COUNTIFS('Livros Finalizados'!$I:$I,"&gt;=01/08/2026",'Livros Finalizados'!$I:$I,"&lt;=31/08/2026")</f>
        <v>2</v>
      </c>
      <c r="O26" s="80" t="s">
        <v>201</v>
      </c>
      <c r="P26" s="79">
        <f>COUNTIFS('Livros Finalizados'!$I:$I,"&gt;=01/08/2027",'Livros Finalizados'!$I:$I,"&lt;=31/08/2027")</f>
        <v>0</v>
      </c>
      <c r="Q26" s="80" t="s">
        <v>201</v>
      </c>
      <c r="R26" s="79"/>
      <c r="S26" s="80" t="s">
        <v>201</v>
      </c>
      <c r="T26" s="79"/>
      <c r="U26" s="80" t="s">
        <v>201</v>
      </c>
      <c r="V26" s="79">
        <v>0</v>
      </c>
      <c r="W26" s="74"/>
    </row>
    <row r="27" spans="2:26" ht="15.75" x14ac:dyDescent="0.25">
      <c r="B27" s="90"/>
      <c r="C27" s="78" t="s">
        <v>202</v>
      </c>
      <c r="D27" s="103">
        <f>COUNTIFS('Livros Finalizados'!$I:$I,"&gt;=01/09/2021",'Livros Finalizados'!$I:$I,"&lt;=30/09/2021")</f>
        <v>0</v>
      </c>
      <c r="E27" s="80" t="s">
        <v>202</v>
      </c>
      <c r="F27" s="103">
        <f>COUNTIFS('Livros Finalizados'!$I:$I,"&gt;=01/09/2022",'Livros Finalizados'!$I:$I,"&lt;=30/09/2022")</f>
        <v>0</v>
      </c>
      <c r="G27" s="80" t="s">
        <v>202</v>
      </c>
      <c r="H27" s="103">
        <f>COUNTIFS('Livros Finalizados'!$I:$I,"&gt;=01/09/2023",'Livros Finalizados'!$I:$I,"&lt;=30/09/2023")</f>
        <v>0</v>
      </c>
      <c r="I27" s="80" t="s">
        <v>202</v>
      </c>
      <c r="J27" s="103">
        <f>COUNTIFS('Livros Finalizados'!$I:$I,"&gt;=01/09/2024",'Livros Finalizados'!$I:$I,"&lt;=30/09/2024")</f>
        <v>3</v>
      </c>
      <c r="K27" s="80" t="s">
        <v>202</v>
      </c>
      <c r="L27" s="103">
        <f>COUNTIFS('Livros Finalizados'!$I:$I,"&gt;=01/09/2025",'Livros Finalizados'!$I:$I,"&lt;=30/09/2025")</f>
        <v>1</v>
      </c>
      <c r="M27" s="100" t="s">
        <v>202</v>
      </c>
      <c r="N27" s="79">
        <f>COUNTIFS('Livros Finalizados'!$I:$I,"&gt;=01/09/2026",'Livros Finalizados'!$I:$I,"&lt;=30/09/2026")</f>
        <v>4</v>
      </c>
      <c r="O27" s="80" t="s">
        <v>202</v>
      </c>
      <c r="P27" s="79">
        <f>COUNTIFS('Livros Finalizados'!$I:$I,"&gt;=01/09/2027",'Livros Finalizados'!$I:$I,"&lt;=30/09/2027")</f>
        <v>0</v>
      </c>
      <c r="Q27" s="80" t="s">
        <v>202</v>
      </c>
      <c r="R27" s="79"/>
      <c r="S27" s="80" t="s">
        <v>202</v>
      </c>
      <c r="T27" s="79"/>
      <c r="U27" s="80" t="s">
        <v>202</v>
      </c>
      <c r="V27" s="79">
        <v>0</v>
      </c>
      <c r="W27" s="74"/>
    </row>
    <row r="28" spans="2:26" ht="15.75" x14ac:dyDescent="0.25">
      <c r="B28" s="90"/>
      <c r="C28" s="78" t="s">
        <v>203</v>
      </c>
      <c r="D28" s="103">
        <f>COUNTIFS('Livros Finalizados'!$I:$I,"&gt;=01/10/2021",'Livros Finalizados'!$I:$I,"&lt;=31/10/2021")</f>
        <v>0</v>
      </c>
      <c r="E28" s="80" t="s">
        <v>203</v>
      </c>
      <c r="F28" s="103">
        <f>COUNTIFS('Livros Finalizados'!$I:$I,"&gt;=01/10/2022",'Livros Finalizados'!$I:$I,"&lt;=31/10/2022")</f>
        <v>0</v>
      </c>
      <c r="G28" s="80" t="s">
        <v>203</v>
      </c>
      <c r="H28" s="103">
        <f>COUNTIFS('Livros Finalizados'!$I:$I,"&gt;=01/10/2023",'Livros Finalizados'!$I:$I,"&lt;=31/10/2023")</f>
        <v>0</v>
      </c>
      <c r="I28" s="80" t="s">
        <v>203</v>
      </c>
      <c r="J28" s="103">
        <f>COUNTIFS('Livros Finalizados'!$I:$I,"&gt;=01/10/2024",'Livros Finalizados'!$I:$I,"&lt;=31/10/2024")</f>
        <v>4</v>
      </c>
      <c r="K28" s="80" t="s">
        <v>203</v>
      </c>
      <c r="L28" s="103">
        <f>COUNTIFS('Livros Finalizados'!$I:$I,"&gt;=01/10/2025",'Livros Finalizados'!$I:$I,"&lt;=31/10/2025")</f>
        <v>1</v>
      </c>
      <c r="M28" s="100" t="s">
        <v>203</v>
      </c>
      <c r="N28" s="79">
        <f>COUNTIFS('Livros Finalizados'!$I:$I,"&gt;=01/10/2026",'Livros Finalizados'!$I:$I,"&lt;=31/10/2026")</f>
        <v>3</v>
      </c>
      <c r="O28" s="80" t="s">
        <v>203</v>
      </c>
      <c r="P28" s="79">
        <f>COUNTIFS('Livros Finalizados'!$I:$I,"&gt;=01/10/2027",'Livros Finalizados'!$I:$I,"&lt;=31/10/2027")</f>
        <v>0</v>
      </c>
      <c r="Q28" s="80" t="s">
        <v>203</v>
      </c>
      <c r="R28" s="79"/>
      <c r="S28" s="80" t="s">
        <v>203</v>
      </c>
      <c r="T28" s="79"/>
      <c r="U28" s="80" t="s">
        <v>203</v>
      </c>
      <c r="V28" s="79">
        <v>0</v>
      </c>
      <c r="W28" s="74"/>
    </row>
    <row r="29" spans="2:26" ht="15.75" x14ac:dyDescent="0.25">
      <c r="B29" s="90"/>
      <c r="C29" s="78" t="s">
        <v>204</v>
      </c>
      <c r="D29" s="103">
        <f>COUNTIFS('Livros Finalizados'!$I:$I,"&gt;=01/11/2021",'Livros Finalizados'!$I:$I,"&lt;=30/11/2021")</f>
        <v>1</v>
      </c>
      <c r="E29" s="80" t="s">
        <v>204</v>
      </c>
      <c r="F29" s="103">
        <f>COUNTIFS('Livros Finalizados'!$I:$I,"&gt;=01/11/2022",'Livros Finalizados'!$I:$I,"&lt;=30/11/2022")</f>
        <v>0</v>
      </c>
      <c r="G29" s="80" t="s">
        <v>204</v>
      </c>
      <c r="H29" s="103">
        <f>COUNTIFS('Livros Finalizados'!$I:$I,"&gt;=01/11/2023",'Livros Finalizados'!$I:$I,"&lt;=30/11/2023")</f>
        <v>0</v>
      </c>
      <c r="I29" s="80" t="s">
        <v>204</v>
      </c>
      <c r="J29" s="103">
        <f>COUNTIFS('Livros Finalizados'!$I:$I,"&gt;=01/11/2024",'Livros Finalizados'!$I:$I,"&lt;=30/11/2024")</f>
        <v>10</v>
      </c>
      <c r="K29" s="80" t="s">
        <v>204</v>
      </c>
      <c r="L29" s="103">
        <f>COUNTIFS('Livros Finalizados'!$I:$I,"&gt;=01/11/2025",'Livros Finalizados'!$I:$I,"&lt;=30/11/2025")</f>
        <v>3</v>
      </c>
      <c r="M29" s="100" t="s">
        <v>204</v>
      </c>
      <c r="N29" s="79">
        <f>COUNTIFS('Livros Finalizados'!$I:$I,"&gt;=01/11/2026",'Livros Finalizados'!$I:$I,"&lt;=30/11/2026")</f>
        <v>0</v>
      </c>
      <c r="O29" s="80" t="s">
        <v>204</v>
      </c>
      <c r="P29" s="79">
        <f>COUNTIFS('Livros Finalizados'!$I:$I,"&gt;=01/11/2027",'Livros Finalizados'!$I:$I,"&lt;=30/11/2027")</f>
        <v>0</v>
      </c>
      <c r="Q29" s="80" t="s">
        <v>204</v>
      </c>
      <c r="R29" s="79"/>
      <c r="S29" s="80" t="s">
        <v>204</v>
      </c>
      <c r="T29" s="79"/>
      <c r="U29" s="80" t="s">
        <v>204</v>
      </c>
      <c r="V29" s="79">
        <v>0</v>
      </c>
      <c r="W29" s="74"/>
    </row>
    <row r="30" spans="2:26" ht="15.75" x14ac:dyDescent="0.25">
      <c r="B30" s="90"/>
      <c r="C30" s="78" t="s">
        <v>205</v>
      </c>
      <c r="D30" s="103">
        <f>COUNTIFS('Livros Finalizados'!$I:$I,"&gt;=01/12/2021",'Livros Finalizados'!$I:$I,"&lt;=31/12/2021")</f>
        <v>0</v>
      </c>
      <c r="E30" s="80" t="s">
        <v>205</v>
      </c>
      <c r="F30" s="103">
        <f>COUNTIFS('Livros Finalizados'!$I:$I,"&gt;=01/12/2022",'Livros Finalizados'!$I:$I,"&lt;=31/12/2022")</f>
        <v>0</v>
      </c>
      <c r="G30" s="80" t="s">
        <v>205</v>
      </c>
      <c r="H30" s="103">
        <f>COUNTIFS('Livros Finalizados'!$I:$I,"&gt;=01/12/2023",'Livros Finalizados'!$I:$I,"&lt;=31/12/2023")</f>
        <v>0</v>
      </c>
      <c r="I30" s="80" t="s">
        <v>205</v>
      </c>
      <c r="J30" s="103">
        <f>COUNTIFS('Livros Finalizados'!$I:$I,"&gt;=01/12/2024",'Livros Finalizados'!$I:$I,"&lt;=31/12/2024")</f>
        <v>9</v>
      </c>
      <c r="K30" s="80" t="s">
        <v>205</v>
      </c>
      <c r="L30" s="103">
        <f>COUNTIFS('Livros Finalizados'!$I:$I,"&gt;=01/12/2025",'Livros Finalizados'!$I:$I,"&lt;=31/12/2025")</f>
        <v>6</v>
      </c>
      <c r="M30" s="100" t="s">
        <v>205</v>
      </c>
      <c r="N30" s="79">
        <f>COUNTIFS('Livros Finalizados'!$I:$I,"&gt;=01/12/2026",'Livros Finalizados'!$I:$I,"&lt;=31/12/2026")</f>
        <v>0</v>
      </c>
      <c r="O30" s="80" t="s">
        <v>205</v>
      </c>
      <c r="P30" s="79">
        <f>COUNTIFS('Livros Finalizados'!$I:$I,"&gt;=01/12/2027",'Livros Finalizados'!$I:$I,"&lt;=31/12/2027")</f>
        <v>0</v>
      </c>
      <c r="Q30" s="80" t="s">
        <v>205</v>
      </c>
      <c r="R30" s="79"/>
      <c r="S30" s="80" t="s">
        <v>205</v>
      </c>
      <c r="T30" s="79"/>
      <c r="U30" s="80" t="s">
        <v>205</v>
      </c>
      <c r="V30" s="79">
        <v>0</v>
      </c>
      <c r="W30" s="74"/>
    </row>
    <row r="31" spans="2:26" ht="16.5" thickBot="1" x14ac:dyDescent="0.3">
      <c r="B31" s="90"/>
      <c r="C31" s="81" t="s">
        <v>2</v>
      </c>
      <c r="D31" s="82">
        <f>SUM(D19:D30)</f>
        <v>1</v>
      </c>
      <c r="E31" s="83" t="s">
        <v>2</v>
      </c>
      <c r="F31" s="82">
        <f t="shared" ref="F31" si="9">SUM(F19:F30)</f>
        <v>7</v>
      </c>
      <c r="G31" s="83" t="s">
        <v>2</v>
      </c>
      <c r="H31" s="82">
        <f t="shared" ref="H31" si="10">SUM(H19:H30)</f>
        <v>0</v>
      </c>
      <c r="I31" s="83" t="s">
        <v>2</v>
      </c>
      <c r="J31" s="82">
        <f t="shared" ref="J31" si="11">SUM(J19:J30)</f>
        <v>72</v>
      </c>
      <c r="K31" s="83" t="s">
        <v>2</v>
      </c>
      <c r="L31" s="83">
        <f t="shared" ref="L31" si="12">SUM(L19:L30)</f>
        <v>36</v>
      </c>
      <c r="M31" s="84" t="s">
        <v>2</v>
      </c>
      <c r="N31" s="82">
        <f>SUM(N19:N30)</f>
        <v>27</v>
      </c>
      <c r="O31" s="83" t="s">
        <v>2</v>
      </c>
      <c r="P31" s="82">
        <f t="shared" ref="P31" si="13">SUM(P19:P30)</f>
        <v>0</v>
      </c>
      <c r="Q31" s="83" t="s">
        <v>2</v>
      </c>
      <c r="R31" s="82">
        <f t="shared" ref="R31" si="14">SUM(R19:R30)</f>
        <v>0</v>
      </c>
      <c r="S31" s="83" t="s">
        <v>2</v>
      </c>
      <c r="T31" s="82">
        <f t="shared" ref="T31" si="15">SUM(T19:T30)</f>
        <v>0</v>
      </c>
      <c r="U31" s="83" t="s">
        <v>2</v>
      </c>
      <c r="V31" s="82">
        <f t="shared" ref="V31" si="16">SUM(V19:V30)</f>
        <v>0</v>
      </c>
      <c r="W31" s="74"/>
    </row>
    <row r="32" spans="2:26" ht="8.1" customHeight="1" thickTop="1" thickBot="1" x14ac:dyDescent="0.3">
      <c r="B32" s="91"/>
      <c r="C32" s="92"/>
      <c r="D32" s="92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</row>
    <row r="33" ht="15.75" thickTop="1" x14ac:dyDescent="0.25"/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A951-A66A-4F33-AB9E-FE073B8457A3}">
  <dimension ref="A1:N124"/>
  <sheetViews>
    <sheetView showGridLines="0" workbookViewId="0">
      <pane ySplit="1" topLeftCell="A2" activePane="bottomLeft" state="frozen"/>
      <selection pane="bottomLeft" activeCell="G55" sqref="G55"/>
    </sheetView>
  </sheetViews>
  <sheetFormatPr defaultRowHeight="15" x14ac:dyDescent="0.25"/>
  <cols>
    <col min="1" max="1" width="5.5703125" style="140" bestFit="1" customWidth="1"/>
    <col min="2" max="2" width="5.5703125" style="11" bestFit="1" customWidth="1"/>
    <col min="3" max="3" width="58.140625" style="11" bestFit="1" customWidth="1"/>
    <col min="4" max="4" width="24.7109375" style="11" bestFit="1" customWidth="1"/>
    <col min="5" max="5" width="19.5703125" style="11" bestFit="1" customWidth="1"/>
    <col min="6" max="7" width="5.5703125" style="11" bestFit="1" customWidth="1"/>
    <col min="8" max="9" width="1.7109375" customWidth="1"/>
    <col min="10" max="10" width="6.140625" bestFit="1" customWidth="1"/>
    <col min="11" max="11" width="3.28515625" bestFit="1" customWidth="1"/>
    <col min="12" max="12" width="1.7109375" customWidth="1"/>
    <col min="13" max="13" width="11.140625" bestFit="1" customWidth="1"/>
    <col min="14" max="14" width="14.140625" bestFit="1" customWidth="1"/>
    <col min="15" max="15" width="1.7109375" customWidth="1"/>
    <col min="16" max="16" width="6.140625" bestFit="1" customWidth="1"/>
    <col min="17" max="17" width="4.42578125" bestFit="1" customWidth="1"/>
  </cols>
  <sheetData>
    <row r="1" spans="1:14" x14ac:dyDescent="0.25">
      <c r="A1" s="127" t="s">
        <v>0</v>
      </c>
      <c r="B1" s="26" t="s">
        <v>4</v>
      </c>
      <c r="C1" s="26" t="s">
        <v>1</v>
      </c>
      <c r="D1" s="26" t="s">
        <v>7</v>
      </c>
      <c r="E1" s="26" t="s">
        <v>8</v>
      </c>
      <c r="F1" s="26" t="s">
        <v>3</v>
      </c>
      <c r="G1" s="26" t="s">
        <v>436</v>
      </c>
      <c r="H1" s="2"/>
    </row>
    <row r="2" spans="1:14" x14ac:dyDescent="0.25">
      <c r="A2" s="128"/>
      <c r="B2"/>
      <c r="D2"/>
      <c r="E2"/>
      <c r="F2"/>
      <c r="G2"/>
      <c r="H2" s="1"/>
      <c r="J2" s="1"/>
      <c r="K2" s="1"/>
    </row>
    <row r="3" spans="1:14" x14ac:dyDescent="0.25">
      <c r="A3" s="129"/>
      <c r="B3" s="3"/>
      <c r="C3" s="3"/>
      <c r="D3" s="3"/>
      <c r="E3" s="3"/>
      <c r="F3" s="3"/>
      <c r="G3" s="3"/>
      <c r="H3" s="2"/>
      <c r="J3" s="34" t="s">
        <v>3</v>
      </c>
      <c r="K3" s="131" t="s">
        <v>0</v>
      </c>
      <c r="M3" s="34" t="s">
        <v>4</v>
      </c>
      <c r="N3" s="131" t="s">
        <v>0</v>
      </c>
    </row>
    <row r="4" spans="1:14" x14ac:dyDescent="0.25">
      <c r="A4" s="129"/>
      <c r="B4" s="3"/>
      <c r="C4" s="3"/>
      <c r="D4" s="3"/>
      <c r="E4" s="3"/>
      <c r="F4" s="3"/>
      <c r="G4" s="3"/>
      <c r="H4" s="2"/>
      <c r="J4" s="132">
        <v>2011</v>
      </c>
      <c r="K4" s="133">
        <f>COUNTIFS(F:F,"&gt;=2011",F:F,"&lt;=2011")</f>
        <v>0</v>
      </c>
      <c r="M4" s="142" t="s">
        <v>138</v>
      </c>
      <c r="N4" s="130">
        <f>COUNTIFS(B:B,"Livro")</f>
        <v>68</v>
      </c>
    </row>
    <row r="5" spans="1:14" x14ac:dyDescent="0.25">
      <c r="A5" s="129"/>
      <c r="B5" s="3"/>
      <c r="C5" s="3"/>
      <c r="D5" s="3"/>
      <c r="E5" s="3"/>
      <c r="F5" s="3"/>
      <c r="G5" s="3"/>
      <c r="H5" s="2"/>
      <c r="J5" s="132">
        <v>2012</v>
      </c>
      <c r="K5" s="133">
        <f>COUNTIFS(F:F,"&gt;=2012",F:F,"&lt;=2012")</f>
        <v>0</v>
      </c>
      <c r="M5" s="135" t="s">
        <v>147</v>
      </c>
      <c r="N5" s="134">
        <f>COUNTIFS(B:B,"HQ")</f>
        <v>4</v>
      </c>
    </row>
    <row r="6" spans="1:14" x14ac:dyDescent="0.25">
      <c r="A6" s="129"/>
      <c r="B6" s="3"/>
      <c r="C6" s="3"/>
      <c r="D6" s="3"/>
      <c r="E6" s="3"/>
      <c r="F6" s="3"/>
      <c r="G6" s="3"/>
      <c r="H6" s="1"/>
      <c r="J6" s="132">
        <v>2013</v>
      </c>
      <c r="K6" s="133">
        <f>COUNTIFS(F:F,"&gt;=2013",F:F,"&lt;=2013")</f>
        <v>0</v>
      </c>
      <c r="M6" s="135" t="s">
        <v>139</v>
      </c>
      <c r="N6" s="134">
        <f>COUNTIFS(B:B,"Mangá")</f>
        <v>0</v>
      </c>
    </row>
    <row r="7" spans="1:14" x14ac:dyDescent="0.25">
      <c r="A7" s="129"/>
      <c r="B7" s="3"/>
      <c r="C7" s="3"/>
      <c r="D7" s="3"/>
      <c r="E7" s="3"/>
      <c r="F7" s="3"/>
      <c r="G7" s="3"/>
      <c r="H7" s="2"/>
      <c r="J7" s="132">
        <v>2014</v>
      </c>
      <c r="K7" s="133">
        <f>COUNTIFS(F:F,"&gt;=2014",F:F,"&lt;=2014")</f>
        <v>0</v>
      </c>
      <c r="M7" s="136" t="s">
        <v>2</v>
      </c>
      <c r="N7" s="130">
        <f>SUM(N4:N6)</f>
        <v>72</v>
      </c>
    </row>
    <row r="8" spans="1:14" x14ac:dyDescent="0.25">
      <c r="A8" s="129"/>
      <c r="B8" s="3"/>
      <c r="C8" s="3"/>
      <c r="D8" s="3"/>
      <c r="E8" s="3"/>
      <c r="F8" s="3"/>
      <c r="G8" s="3"/>
      <c r="H8" s="1"/>
      <c r="J8" s="132">
        <v>2015</v>
      </c>
      <c r="K8" s="133">
        <f>COUNTIFS(F:F,"&gt;=2015",F:F,"&lt;=2015")</f>
        <v>0</v>
      </c>
      <c r="M8" s="143" t="s">
        <v>437</v>
      </c>
      <c r="N8" s="141">
        <f>SUM(G:G)</f>
        <v>31539</v>
      </c>
    </row>
    <row r="9" spans="1:14" x14ac:dyDescent="0.25">
      <c r="A9" s="129"/>
      <c r="B9" s="3"/>
      <c r="C9" s="3"/>
      <c r="D9" s="3"/>
      <c r="E9" s="3"/>
      <c r="F9" s="3"/>
      <c r="G9" s="3"/>
      <c r="H9" s="1"/>
      <c r="J9" s="132">
        <v>2016</v>
      </c>
      <c r="K9" s="133">
        <f>COUNTIFS(F:F,"&gt;=2016",F:F,"&lt;=2016")</f>
        <v>0</v>
      </c>
    </row>
    <row r="10" spans="1:14" x14ac:dyDescent="0.25">
      <c r="A10" s="129"/>
      <c r="B10" s="3"/>
      <c r="C10" s="3"/>
      <c r="D10" s="3"/>
      <c r="E10" s="3"/>
      <c r="F10" s="3"/>
      <c r="G10" s="3"/>
      <c r="H10" s="1"/>
      <c r="J10" s="132">
        <v>2017</v>
      </c>
      <c r="K10" s="133">
        <f>COUNTIFS(F:F,"&gt;=2017",F:F,"&lt;=2017")</f>
        <v>0</v>
      </c>
    </row>
    <row r="11" spans="1:14" x14ac:dyDescent="0.25">
      <c r="A11" s="129"/>
      <c r="B11" s="3"/>
      <c r="C11" s="3"/>
      <c r="D11" s="3"/>
      <c r="E11" s="3"/>
      <c r="F11" s="3"/>
      <c r="G11" s="3"/>
      <c r="H11" s="1"/>
      <c r="J11" s="132">
        <v>2018</v>
      </c>
      <c r="K11" s="133">
        <f>COUNTIFS(F:F,"&gt;=2018",F:F,"&lt;=2018")</f>
        <v>0</v>
      </c>
    </row>
    <row r="12" spans="1:14" x14ac:dyDescent="0.25">
      <c r="A12" s="129"/>
      <c r="B12" s="3"/>
      <c r="C12" s="3"/>
      <c r="D12" s="3"/>
      <c r="E12" s="3"/>
      <c r="F12" s="3"/>
      <c r="G12" s="3"/>
      <c r="H12" s="1"/>
      <c r="J12" s="132">
        <v>2019</v>
      </c>
      <c r="K12" s="133">
        <f>COUNTIFS(F:F,"&gt;=2019",F:F,"&lt;=2019")</f>
        <v>0</v>
      </c>
    </row>
    <row r="13" spans="1:14" x14ac:dyDescent="0.25">
      <c r="A13" s="129"/>
      <c r="B13" s="3"/>
      <c r="C13" s="3"/>
      <c r="D13" s="3"/>
      <c r="E13" s="3"/>
      <c r="F13" s="3"/>
      <c r="G13" s="3"/>
      <c r="H13" s="1"/>
      <c r="J13" s="132">
        <v>2020</v>
      </c>
      <c r="K13" s="133">
        <f>COUNTIFS(F:F,"&gt;=2020",F:F,"&lt;=2020")</f>
        <v>0</v>
      </c>
    </row>
    <row r="14" spans="1:14" x14ac:dyDescent="0.25">
      <c r="A14" s="129"/>
      <c r="B14" s="3"/>
      <c r="C14" s="3"/>
      <c r="D14" s="3"/>
      <c r="E14" s="3"/>
      <c r="F14" s="3"/>
      <c r="G14" s="3"/>
      <c r="H14" s="1"/>
      <c r="J14" s="137">
        <v>2021</v>
      </c>
      <c r="K14" s="133">
        <f>COUNTIFS(F:F,"&gt;=2021",F:F,"&lt;=2021")</f>
        <v>1</v>
      </c>
    </row>
    <row r="15" spans="1:14" x14ac:dyDescent="0.25">
      <c r="A15" s="129"/>
      <c r="B15" s="3"/>
      <c r="C15" s="3"/>
      <c r="D15" s="3"/>
      <c r="E15" s="3"/>
      <c r="F15" s="3"/>
      <c r="G15" s="3"/>
      <c r="H15" s="1"/>
      <c r="J15" s="138">
        <v>2022</v>
      </c>
      <c r="K15" s="133">
        <f>COUNTIFS(F:F,"&gt;=2022",F:F,"&lt;=2022")</f>
        <v>9</v>
      </c>
    </row>
    <row r="16" spans="1:14" x14ac:dyDescent="0.25">
      <c r="A16" s="129"/>
      <c r="B16" s="3"/>
      <c r="C16" s="3"/>
      <c r="D16" s="3"/>
      <c r="E16" s="3"/>
      <c r="F16" s="3"/>
      <c r="G16" s="3"/>
      <c r="H16" s="1"/>
      <c r="J16" s="138">
        <v>2023</v>
      </c>
      <c r="K16" s="133">
        <f>COUNTIFS(F:F,"&gt;=2023",F:F,"&lt;=2023")</f>
        <v>1</v>
      </c>
    </row>
    <row r="17" spans="1:11" x14ac:dyDescent="0.25">
      <c r="A17" s="129"/>
      <c r="B17" s="3"/>
      <c r="C17" s="3"/>
      <c r="D17" s="3"/>
      <c r="E17" s="3"/>
      <c r="F17" s="3"/>
      <c r="G17" s="3"/>
      <c r="H17" s="1"/>
      <c r="J17" s="138">
        <v>2024</v>
      </c>
      <c r="K17" s="133">
        <f>COUNTIFS(F:F,"&gt;=2024",F:F,"&lt;=2024")</f>
        <v>17</v>
      </c>
    </row>
    <row r="18" spans="1:11" x14ac:dyDescent="0.25">
      <c r="A18" s="129"/>
      <c r="B18" s="3"/>
      <c r="C18" s="3"/>
      <c r="D18" s="3"/>
      <c r="E18" s="3"/>
      <c r="F18" s="3"/>
      <c r="G18" s="3"/>
      <c r="H18" s="1"/>
      <c r="J18" s="138">
        <v>2025</v>
      </c>
      <c r="K18" s="133">
        <f>COUNTIFS(F:F,"&gt;=2025",F:F,"&lt;=2025")</f>
        <v>35</v>
      </c>
    </row>
    <row r="19" spans="1:11" x14ac:dyDescent="0.25">
      <c r="A19" s="129"/>
      <c r="B19" s="3"/>
      <c r="C19" s="3"/>
      <c r="D19" s="3"/>
      <c r="E19" s="3"/>
      <c r="F19" s="3"/>
      <c r="G19" s="3"/>
      <c r="H19" s="1"/>
      <c r="J19" s="137">
        <v>2026</v>
      </c>
      <c r="K19" s="133">
        <f>COUNTIFS(F:F,"&gt;=2026",F:F,"&lt;=2026")</f>
        <v>9</v>
      </c>
    </row>
    <row r="20" spans="1:11" x14ac:dyDescent="0.25">
      <c r="A20" s="129"/>
      <c r="B20" s="3"/>
      <c r="C20" s="3"/>
      <c r="D20" s="3"/>
      <c r="E20" s="3"/>
      <c r="F20" s="3"/>
      <c r="G20" s="3"/>
      <c r="H20" s="1"/>
      <c r="J20" s="139" t="s">
        <v>2</v>
      </c>
      <c r="K20" s="144">
        <f>SUM(K4:K19)</f>
        <v>72</v>
      </c>
    </row>
    <row r="21" spans="1:11" x14ac:dyDescent="0.25">
      <c r="A21" s="129"/>
      <c r="B21" s="3"/>
      <c r="C21" s="3"/>
      <c r="D21" s="3"/>
      <c r="E21" s="3"/>
      <c r="F21" s="3"/>
      <c r="G21" s="3"/>
      <c r="H21" s="1"/>
      <c r="J21" s="1"/>
      <c r="K21" s="1"/>
    </row>
    <row r="22" spans="1:11" x14ac:dyDescent="0.25">
      <c r="A22" s="129"/>
      <c r="B22" s="3"/>
      <c r="C22" s="3"/>
      <c r="D22" s="3"/>
      <c r="E22" s="3"/>
      <c r="F22" s="3"/>
      <c r="G22" s="3"/>
      <c r="H22" s="1"/>
      <c r="J22" s="1"/>
      <c r="K22" s="1"/>
    </row>
    <row r="23" spans="1:11" x14ac:dyDescent="0.25">
      <c r="A23" s="129"/>
      <c r="B23" s="3"/>
      <c r="C23" s="3"/>
      <c r="D23" s="3"/>
      <c r="E23" s="3"/>
      <c r="F23" s="3"/>
      <c r="G23" s="3"/>
      <c r="H23" s="1"/>
      <c r="J23" s="1"/>
      <c r="K23" s="1"/>
    </row>
    <row r="24" spans="1:11" x14ac:dyDescent="0.25">
      <c r="A24" s="129"/>
      <c r="B24" s="3"/>
      <c r="C24" s="3"/>
      <c r="D24" s="3"/>
      <c r="E24" s="3"/>
      <c r="F24" s="3"/>
      <c r="G24" s="3"/>
      <c r="H24" s="1"/>
      <c r="J24" s="1"/>
      <c r="K24" s="1"/>
    </row>
    <row r="25" spans="1:11" x14ac:dyDescent="0.25">
      <c r="A25" s="129"/>
      <c r="B25" s="3"/>
      <c r="C25" s="3"/>
      <c r="D25" s="3"/>
      <c r="E25" s="3"/>
      <c r="F25" s="3"/>
      <c r="G25" s="3"/>
      <c r="H25" s="1"/>
      <c r="J25" s="1"/>
      <c r="K25" s="1"/>
    </row>
    <row r="26" spans="1:11" x14ac:dyDescent="0.25">
      <c r="A26" s="129"/>
      <c r="B26" s="3"/>
      <c r="C26" s="3"/>
      <c r="D26" s="3"/>
      <c r="E26" s="3"/>
      <c r="F26" s="3"/>
      <c r="G26" s="3"/>
      <c r="H26" s="1"/>
      <c r="J26" s="1"/>
      <c r="K26" s="1"/>
    </row>
    <row r="27" spans="1:11" x14ac:dyDescent="0.25">
      <c r="A27" s="129"/>
      <c r="B27" s="3"/>
      <c r="C27" s="3"/>
      <c r="D27" s="3"/>
      <c r="E27" s="3"/>
      <c r="F27" s="3"/>
      <c r="G27" s="3"/>
      <c r="H27" s="1"/>
      <c r="J27" s="1"/>
      <c r="K27" s="1"/>
    </row>
    <row r="28" spans="1:11" x14ac:dyDescent="0.25">
      <c r="A28" s="129"/>
      <c r="B28" s="3"/>
      <c r="C28" s="3"/>
      <c r="D28" s="3"/>
      <c r="E28" s="3"/>
      <c r="F28" s="3"/>
      <c r="G28" s="3"/>
      <c r="H28" s="1"/>
      <c r="J28" s="1"/>
      <c r="K28" s="1"/>
    </row>
    <row r="29" spans="1:11" x14ac:dyDescent="0.25">
      <c r="A29" s="129"/>
      <c r="B29" s="3"/>
      <c r="C29" s="3"/>
      <c r="D29" s="3"/>
      <c r="E29" s="3"/>
      <c r="F29" s="3"/>
      <c r="G29" s="3"/>
      <c r="H29" s="1"/>
      <c r="J29" s="1"/>
      <c r="K29" s="1"/>
    </row>
    <row r="30" spans="1:11" x14ac:dyDescent="0.25">
      <c r="A30" s="129"/>
      <c r="B30" s="3"/>
      <c r="C30" s="3"/>
      <c r="D30" s="3"/>
      <c r="E30" s="3"/>
      <c r="F30" s="3"/>
      <c r="G30" s="3"/>
      <c r="H30" s="1"/>
      <c r="J30" s="1"/>
      <c r="K30" s="1"/>
    </row>
    <row r="31" spans="1:11" x14ac:dyDescent="0.25">
      <c r="A31" s="129"/>
      <c r="B31" s="3"/>
      <c r="C31" s="3"/>
      <c r="D31" s="3"/>
      <c r="E31" s="3"/>
      <c r="F31" s="3"/>
      <c r="G31" s="3"/>
      <c r="H31" s="1"/>
      <c r="J31" s="1"/>
      <c r="K31" s="1"/>
    </row>
    <row r="32" spans="1:11" x14ac:dyDescent="0.25">
      <c r="A32" s="129"/>
      <c r="B32" s="3"/>
      <c r="C32" s="3"/>
      <c r="D32" s="3"/>
      <c r="E32" s="3"/>
      <c r="F32" s="3"/>
      <c r="G32" s="3"/>
      <c r="H32" s="1"/>
      <c r="J32" s="1"/>
      <c r="K32" s="1"/>
    </row>
    <row r="33" spans="1:11" x14ac:dyDescent="0.25">
      <c r="A33" s="129"/>
      <c r="B33" s="3"/>
      <c r="C33" s="3"/>
      <c r="D33" s="3"/>
      <c r="E33" s="3"/>
      <c r="F33" s="3"/>
      <c r="G33" s="3"/>
      <c r="H33" s="1"/>
      <c r="J33" s="1"/>
      <c r="K33" s="1"/>
    </row>
    <row r="34" spans="1:11" x14ac:dyDescent="0.25">
      <c r="A34" s="129"/>
      <c r="B34" s="3"/>
      <c r="C34" s="3"/>
      <c r="D34" s="3"/>
      <c r="E34" s="3"/>
      <c r="F34" s="3"/>
      <c r="G34" s="3"/>
      <c r="H34" s="1"/>
      <c r="J34" s="1"/>
      <c r="K34" s="1"/>
    </row>
    <row r="35" spans="1:11" x14ac:dyDescent="0.25">
      <c r="A35" s="129"/>
      <c r="B35" s="3"/>
      <c r="C35" s="3"/>
      <c r="D35" s="3"/>
      <c r="E35" s="3"/>
      <c r="F35" s="3"/>
      <c r="G35" s="3"/>
      <c r="H35" s="1"/>
      <c r="J35" s="1"/>
      <c r="K35" s="1"/>
    </row>
    <row r="36" spans="1:11" x14ac:dyDescent="0.25">
      <c r="A36" s="129"/>
      <c r="B36" s="3"/>
      <c r="C36" s="3"/>
      <c r="D36" s="3"/>
      <c r="E36" s="3"/>
      <c r="F36" s="3"/>
      <c r="G36" s="3"/>
      <c r="H36" s="1"/>
      <c r="J36" s="1"/>
      <c r="K36" s="1"/>
    </row>
    <row r="37" spans="1:11" x14ac:dyDescent="0.25">
      <c r="A37" s="129"/>
      <c r="B37" s="3"/>
      <c r="C37" s="3"/>
      <c r="D37" s="3"/>
      <c r="E37" s="3"/>
      <c r="F37" s="3"/>
      <c r="G37" s="3"/>
      <c r="H37" s="1"/>
      <c r="J37" s="1"/>
      <c r="K37" s="1"/>
    </row>
    <row r="38" spans="1:11" x14ac:dyDescent="0.25">
      <c r="A38" s="129"/>
      <c r="B38" s="3"/>
      <c r="C38" s="3"/>
      <c r="D38" s="3"/>
      <c r="E38" s="3"/>
      <c r="F38" s="3"/>
      <c r="G38" s="3"/>
      <c r="H38" s="1"/>
      <c r="J38" s="1"/>
      <c r="K38" s="1"/>
    </row>
    <row r="39" spans="1:11" x14ac:dyDescent="0.25">
      <c r="A39" s="129"/>
      <c r="B39" s="3"/>
      <c r="C39" s="3"/>
      <c r="D39" s="3"/>
      <c r="E39" s="3"/>
      <c r="F39" s="3"/>
      <c r="G39" s="3"/>
      <c r="H39" s="1"/>
      <c r="J39" s="1"/>
      <c r="K39" s="1"/>
    </row>
    <row r="40" spans="1:11" x14ac:dyDescent="0.25">
      <c r="A40" s="129"/>
      <c r="B40" s="3"/>
      <c r="C40" s="3"/>
      <c r="D40" s="3"/>
      <c r="E40" s="3"/>
      <c r="F40" s="3"/>
      <c r="G40" s="3"/>
      <c r="H40" s="1"/>
      <c r="J40" s="1"/>
      <c r="K40" s="1"/>
    </row>
    <row r="41" spans="1:11" x14ac:dyDescent="0.25">
      <c r="A41" s="129"/>
      <c r="B41" s="3"/>
      <c r="C41" s="3"/>
      <c r="D41" s="3"/>
      <c r="E41" s="3"/>
      <c r="F41" s="3"/>
      <c r="G41" s="3"/>
      <c r="H41" s="1"/>
      <c r="J41" s="1"/>
      <c r="K41" s="1"/>
    </row>
    <row r="42" spans="1:11" x14ac:dyDescent="0.25">
      <c r="A42" s="129"/>
      <c r="B42" s="3"/>
      <c r="C42" s="3"/>
      <c r="D42" s="3"/>
      <c r="E42" s="3"/>
      <c r="F42" s="3"/>
      <c r="G42" s="3"/>
      <c r="H42" s="1"/>
      <c r="J42" s="1"/>
      <c r="K42" s="1"/>
    </row>
    <row r="43" spans="1:11" x14ac:dyDescent="0.25">
      <c r="A43" s="129"/>
      <c r="B43" s="3"/>
      <c r="C43" s="3"/>
      <c r="D43" s="3"/>
      <c r="E43" s="3"/>
      <c r="F43" s="3"/>
      <c r="G43" s="3"/>
      <c r="H43" s="1"/>
      <c r="J43" s="1"/>
      <c r="K43" s="1"/>
    </row>
    <row r="44" spans="1:11" x14ac:dyDescent="0.25">
      <c r="A44" s="129"/>
      <c r="B44" s="3"/>
      <c r="C44" s="3"/>
      <c r="D44" s="3"/>
      <c r="E44" s="3"/>
      <c r="F44" s="3"/>
      <c r="G44" s="3"/>
      <c r="H44" s="1"/>
      <c r="J44" s="1"/>
      <c r="K44" s="1"/>
    </row>
    <row r="45" spans="1:11" x14ac:dyDescent="0.25">
      <c r="A45" s="129"/>
      <c r="B45" s="3"/>
      <c r="C45" s="3"/>
      <c r="D45" s="3"/>
      <c r="E45" s="3"/>
      <c r="F45" s="3"/>
      <c r="G45" s="3"/>
      <c r="H45" s="1"/>
      <c r="J45" s="1"/>
      <c r="K45" s="1"/>
    </row>
    <row r="46" spans="1:11" x14ac:dyDescent="0.25">
      <c r="A46" s="129"/>
      <c r="B46" s="3"/>
      <c r="C46" s="3"/>
      <c r="D46" s="3"/>
      <c r="E46" s="3"/>
      <c r="F46" s="3"/>
      <c r="G46" s="3"/>
      <c r="H46" s="1"/>
      <c r="J46" s="1"/>
      <c r="K46" s="1"/>
    </row>
    <row r="47" spans="1:11" x14ac:dyDescent="0.25">
      <c r="A47" s="129"/>
      <c r="B47" s="3"/>
      <c r="C47" s="3"/>
      <c r="D47" s="3"/>
      <c r="E47" s="3"/>
      <c r="F47" s="3"/>
      <c r="G47" s="3"/>
      <c r="H47" s="1"/>
      <c r="J47" s="1"/>
      <c r="K47" s="1"/>
    </row>
    <row r="48" spans="1:11" x14ac:dyDescent="0.25">
      <c r="A48" s="129"/>
      <c r="B48" s="3"/>
      <c r="C48" s="3"/>
      <c r="D48" s="3"/>
      <c r="E48" s="3"/>
      <c r="F48" s="3"/>
      <c r="G48" s="3"/>
      <c r="H48" s="1"/>
      <c r="J48" s="1"/>
      <c r="K48" s="1"/>
    </row>
    <row r="49" spans="1:11" x14ac:dyDescent="0.25">
      <c r="A49" s="129"/>
      <c r="B49" s="3"/>
      <c r="C49" s="3"/>
      <c r="D49" s="3"/>
      <c r="E49" s="3"/>
      <c r="F49" s="3"/>
      <c r="G49" s="3"/>
      <c r="H49" s="1"/>
      <c r="J49" s="1"/>
      <c r="K49" s="1"/>
    </row>
    <row r="50" spans="1:11" x14ac:dyDescent="0.25">
      <c r="A50" s="129"/>
      <c r="B50" s="3"/>
      <c r="C50" s="3"/>
      <c r="D50" s="3"/>
      <c r="E50" s="3"/>
      <c r="F50" s="3"/>
      <c r="G50" s="3"/>
      <c r="H50" s="1"/>
      <c r="J50" s="1"/>
      <c r="K50" s="1"/>
    </row>
    <row r="51" spans="1:11" x14ac:dyDescent="0.25">
      <c r="A51" s="129"/>
      <c r="B51" s="3"/>
      <c r="C51" s="3"/>
      <c r="D51" s="3"/>
      <c r="E51" s="3"/>
      <c r="F51" s="3"/>
      <c r="G51" s="3"/>
      <c r="H51" s="1"/>
      <c r="J51" s="1"/>
      <c r="K51" s="1"/>
    </row>
    <row r="52" spans="1:11" x14ac:dyDescent="0.25">
      <c r="A52" s="129"/>
      <c r="B52" s="3"/>
      <c r="C52" s="3"/>
      <c r="D52" s="3"/>
      <c r="E52" s="3"/>
      <c r="F52" s="3"/>
      <c r="G52" s="3"/>
      <c r="H52" s="1"/>
      <c r="J52" s="1"/>
      <c r="K52" s="1"/>
    </row>
    <row r="53" spans="1:11" x14ac:dyDescent="0.25">
      <c r="A53" s="129">
        <v>72</v>
      </c>
      <c r="B53" s="3" t="s">
        <v>6</v>
      </c>
      <c r="C53" s="3" t="s">
        <v>517</v>
      </c>
      <c r="D53" s="3" t="s">
        <v>122</v>
      </c>
      <c r="E53" s="3" t="s">
        <v>123</v>
      </c>
      <c r="F53" s="3">
        <v>2022</v>
      </c>
      <c r="G53" s="3">
        <v>160</v>
      </c>
      <c r="H53" s="1"/>
      <c r="J53" s="1"/>
      <c r="K53" s="1"/>
    </row>
    <row r="54" spans="1:11" x14ac:dyDescent="0.25">
      <c r="A54" s="129">
        <v>71</v>
      </c>
      <c r="B54" s="3" t="s">
        <v>6</v>
      </c>
      <c r="C54" s="3" t="s">
        <v>520</v>
      </c>
      <c r="D54" s="3" t="s">
        <v>110</v>
      </c>
      <c r="E54" s="3" t="s">
        <v>226</v>
      </c>
      <c r="F54" s="3">
        <v>2022</v>
      </c>
      <c r="G54" s="3">
        <v>352</v>
      </c>
      <c r="H54" s="1"/>
      <c r="J54" s="1"/>
      <c r="K54" s="1"/>
    </row>
    <row r="55" spans="1:11" x14ac:dyDescent="0.25">
      <c r="A55" s="129">
        <v>70</v>
      </c>
      <c r="B55" s="3" t="s">
        <v>6</v>
      </c>
      <c r="C55" s="3" t="s">
        <v>519</v>
      </c>
      <c r="D55" s="3" t="s">
        <v>110</v>
      </c>
      <c r="E55" s="3" t="s">
        <v>226</v>
      </c>
      <c r="F55" s="3">
        <v>2022</v>
      </c>
      <c r="G55" s="3">
        <v>352</v>
      </c>
      <c r="H55" s="1"/>
      <c r="J55" s="1"/>
      <c r="K55" s="1"/>
    </row>
    <row r="56" spans="1:11" x14ac:dyDescent="0.25">
      <c r="A56" s="129">
        <v>69</v>
      </c>
      <c r="B56" s="3" t="s">
        <v>6</v>
      </c>
      <c r="C56" s="3" t="s">
        <v>518</v>
      </c>
      <c r="D56" s="3" t="s">
        <v>110</v>
      </c>
      <c r="E56" s="3" t="s">
        <v>226</v>
      </c>
      <c r="F56" s="3">
        <v>2022</v>
      </c>
      <c r="G56" s="3">
        <v>352</v>
      </c>
      <c r="H56" s="1"/>
      <c r="J56" s="1"/>
      <c r="K56" s="1"/>
    </row>
    <row r="57" spans="1:11" x14ac:dyDescent="0.25">
      <c r="A57" s="129">
        <v>68</v>
      </c>
      <c r="B57" s="3" t="s">
        <v>6</v>
      </c>
      <c r="C57" s="3" t="s">
        <v>516</v>
      </c>
      <c r="D57" s="3" t="s">
        <v>225</v>
      </c>
      <c r="E57" s="3" t="s">
        <v>266</v>
      </c>
      <c r="F57" s="3">
        <v>2025</v>
      </c>
      <c r="G57" s="3">
        <v>640</v>
      </c>
      <c r="H57" s="1"/>
      <c r="J57" s="1"/>
      <c r="K57" s="1"/>
    </row>
    <row r="58" spans="1:11" x14ac:dyDescent="0.25">
      <c r="A58" s="129">
        <v>67</v>
      </c>
      <c r="B58" s="3" t="s">
        <v>6</v>
      </c>
      <c r="C58" s="3" t="s">
        <v>515</v>
      </c>
      <c r="D58" s="3" t="s">
        <v>225</v>
      </c>
      <c r="E58" s="3" t="s">
        <v>266</v>
      </c>
      <c r="F58" s="3">
        <v>2024</v>
      </c>
      <c r="G58" s="3">
        <v>224</v>
      </c>
      <c r="H58" s="1"/>
      <c r="J58" s="1"/>
      <c r="K58" s="1"/>
    </row>
    <row r="59" spans="1:11" x14ac:dyDescent="0.25">
      <c r="A59" s="129">
        <v>66</v>
      </c>
      <c r="B59" s="3" t="s">
        <v>6</v>
      </c>
      <c r="C59" s="3" t="s">
        <v>514</v>
      </c>
      <c r="D59" s="3" t="s">
        <v>225</v>
      </c>
      <c r="E59" s="3" t="s">
        <v>266</v>
      </c>
      <c r="F59" s="3">
        <v>2024</v>
      </c>
      <c r="G59" s="3">
        <v>240</v>
      </c>
      <c r="H59" s="1"/>
      <c r="J59" s="1"/>
      <c r="K59" s="1"/>
    </row>
    <row r="60" spans="1:11" x14ac:dyDescent="0.25">
      <c r="A60" s="129">
        <v>65</v>
      </c>
      <c r="B60" s="3" t="s">
        <v>6</v>
      </c>
      <c r="C60" s="3" t="s">
        <v>426</v>
      </c>
      <c r="D60" s="3" t="s">
        <v>225</v>
      </c>
      <c r="E60" s="3" t="s">
        <v>266</v>
      </c>
      <c r="F60" s="3">
        <v>2025</v>
      </c>
      <c r="G60" s="3">
        <v>272</v>
      </c>
      <c r="H60" s="1"/>
      <c r="J60" s="1"/>
      <c r="K60" s="1"/>
    </row>
    <row r="61" spans="1:11" x14ac:dyDescent="0.25">
      <c r="A61" s="129">
        <v>64</v>
      </c>
      <c r="B61" s="3" t="s">
        <v>6</v>
      </c>
      <c r="C61" s="3" t="s">
        <v>402</v>
      </c>
      <c r="D61" s="3" t="s">
        <v>225</v>
      </c>
      <c r="E61" s="3" t="s">
        <v>266</v>
      </c>
      <c r="F61" s="3">
        <v>2025</v>
      </c>
      <c r="G61" s="3">
        <v>224</v>
      </c>
      <c r="H61" s="1"/>
      <c r="J61" s="1"/>
      <c r="K61" s="1"/>
    </row>
    <row r="62" spans="1:11" x14ac:dyDescent="0.25">
      <c r="A62" s="129">
        <v>63</v>
      </c>
      <c r="B62" s="3" t="s">
        <v>6</v>
      </c>
      <c r="C62" s="3" t="s">
        <v>513</v>
      </c>
      <c r="D62" s="3" t="s">
        <v>225</v>
      </c>
      <c r="E62" s="3" t="s">
        <v>266</v>
      </c>
      <c r="F62" s="3">
        <v>2025</v>
      </c>
      <c r="G62" s="3">
        <v>288</v>
      </c>
      <c r="H62" s="1"/>
      <c r="J62" s="1"/>
      <c r="K62" s="1"/>
    </row>
    <row r="63" spans="1:11" x14ac:dyDescent="0.25">
      <c r="A63" s="129">
        <v>62</v>
      </c>
      <c r="B63" s="3" t="s">
        <v>6</v>
      </c>
      <c r="C63" s="3" t="s">
        <v>512</v>
      </c>
      <c r="D63" s="3" t="s">
        <v>225</v>
      </c>
      <c r="E63" s="3" t="s">
        <v>266</v>
      </c>
      <c r="F63" s="3">
        <v>2025</v>
      </c>
      <c r="G63" s="3">
        <v>320</v>
      </c>
      <c r="H63" s="1"/>
      <c r="J63" s="1"/>
      <c r="K63" s="1"/>
    </row>
    <row r="64" spans="1:11" x14ac:dyDescent="0.25">
      <c r="A64" s="129">
        <v>61</v>
      </c>
      <c r="B64" s="3" t="s">
        <v>6</v>
      </c>
      <c r="C64" s="3" t="s">
        <v>293</v>
      </c>
      <c r="D64" s="3" t="s">
        <v>225</v>
      </c>
      <c r="E64" s="3" t="s">
        <v>266</v>
      </c>
      <c r="F64" s="3">
        <v>2024</v>
      </c>
      <c r="G64" s="3">
        <v>224</v>
      </c>
      <c r="H64" s="1"/>
      <c r="J64" s="1"/>
      <c r="K64" s="1"/>
    </row>
    <row r="65" spans="1:8" x14ac:dyDescent="0.25">
      <c r="A65" s="129">
        <v>60</v>
      </c>
      <c r="B65" s="3" t="s">
        <v>6</v>
      </c>
      <c r="C65" s="3" t="s">
        <v>511</v>
      </c>
      <c r="D65" s="3" t="s">
        <v>225</v>
      </c>
      <c r="E65" s="3" t="s">
        <v>266</v>
      </c>
      <c r="F65" s="3">
        <v>2024</v>
      </c>
      <c r="G65" s="3">
        <v>192</v>
      </c>
      <c r="H65" s="1"/>
    </row>
    <row r="66" spans="1:8" x14ac:dyDescent="0.25">
      <c r="A66" s="129">
        <v>59</v>
      </c>
      <c r="B66" s="3" t="s">
        <v>6</v>
      </c>
      <c r="C66" s="3" t="s">
        <v>351</v>
      </c>
      <c r="D66" s="3" t="s">
        <v>225</v>
      </c>
      <c r="E66" s="3" t="s">
        <v>226</v>
      </c>
      <c r="F66" s="3">
        <v>2024</v>
      </c>
      <c r="G66" s="3">
        <v>400</v>
      </c>
      <c r="H66" s="1"/>
    </row>
    <row r="67" spans="1:8" x14ac:dyDescent="0.25">
      <c r="A67" s="129">
        <v>58</v>
      </c>
      <c r="B67" s="3" t="s">
        <v>6</v>
      </c>
      <c r="C67" s="3" t="s">
        <v>510</v>
      </c>
      <c r="D67" s="3" t="s">
        <v>225</v>
      </c>
      <c r="E67" s="3" t="s">
        <v>226</v>
      </c>
      <c r="F67" s="3">
        <v>2025</v>
      </c>
      <c r="G67" s="3">
        <v>296</v>
      </c>
      <c r="H67" s="1"/>
    </row>
    <row r="68" spans="1:8" x14ac:dyDescent="0.25">
      <c r="A68" s="129">
        <v>57</v>
      </c>
      <c r="B68" s="3" t="s">
        <v>6</v>
      </c>
      <c r="C68" s="3" t="s">
        <v>508</v>
      </c>
      <c r="D68" s="3" t="s">
        <v>509</v>
      </c>
      <c r="E68" s="3" t="s">
        <v>97</v>
      </c>
      <c r="F68" s="3">
        <v>2026</v>
      </c>
      <c r="G68" s="3">
        <v>216</v>
      </c>
      <c r="H68" s="1"/>
    </row>
    <row r="69" spans="1:8" x14ac:dyDescent="0.25">
      <c r="A69" s="129">
        <v>56</v>
      </c>
      <c r="B69" s="3" t="s">
        <v>6</v>
      </c>
      <c r="C69" s="3" t="s">
        <v>506</v>
      </c>
      <c r="D69" s="3" t="s">
        <v>507</v>
      </c>
      <c r="E69" s="3" t="s">
        <v>362</v>
      </c>
      <c r="F69" s="3">
        <v>2025</v>
      </c>
      <c r="G69" s="3">
        <v>240</v>
      </c>
      <c r="H69" s="1"/>
    </row>
    <row r="70" spans="1:8" x14ac:dyDescent="0.25">
      <c r="A70" s="129">
        <v>55</v>
      </c>
      <c r="B70" s="3" t="s">
        <v>6</v>
      </c>
      <c r="C70" s="3" t="s">
        <v>499</v>
      </c>
      <c r="D70" s="3" t="s">
        <v>500</v>
      </c>
      <c r="E70" s="3" t="s">
        <v>362</v>
      </c>
      <c r="F70" s="3">
        <v>2025</v>
      </c>
      <c r="G70" s="3">
        <v>416</v>
      </c>
      <c r="H70" s="1"/>
    </row>
    <row r="71" spans="1:8" x14ac:dyDescent="0.25">
      <c r="A71" s="129">
        <v>54</v>
      </c>
      <c r="B71" s="3" t="s">
        <v>6</v>
      </c>
      <c r="C71" s="3" t="s">
        <v>501</v>
      </c>
      <c r="D71" s="3" t="s">
        <v>502</v>
      </c>
      <c r="E71" s="3" t="s">
        <v>362</v>
      </c>
      <c r="F71" s="3">
        <v>2025</v>
      </c>
      <c r="G71" s="3">
        <v>576</v>
      </c>
      <c r="H71" s="1"/>
    </row>
    <row r="72" spans="1:8" x14ac:dyDescent="0.25">
      <c r="A72" s="129">
        <v>53</v>
      </c>
      <c r="B72" s="3" t="s">
        <v>6</v>
      </c>
      <c r="C72" s="3" t="s">
        <v>503</v>
      </c>
      <c r="D72" s="3" t="s">
        <v>504</v>
      </c>
      <c r="E72" s="3" t="s">
        <v>362</v>
      </c>
      <c r="F72" s="3">
        <v>2025</v>
      </c>
      <c r="G72" s="3">
        <v>216</v>
      </c>
      <c r="H72" s="1"/>
    </row>
    <row r="73" spans="1:8" x14ac:dyDescent="0.25">
      <c r="A73" s="129">
        <v>52</v>
      </c>
      <c r="B73" s="3" t="s">
        <v>6</v>
      </c>
      <c r="C73" s="3" t="s">
        <v>363</v>
      </c>
      <c r="D73" s="3" t="s">
        <v>237</v>
      </c>
      <c r="E73" s="3" t="s">
        <v>362</v>
      </c>
      <c r="F73" s="3">
        <v>2025</v>
      </c>
      <c r="G73" s="3">
        <v>184</v>
      </c>
      <c r="H73" s="1"/>
    </row>
    <row r="74" spans="1:8" x14ac:dyDescent="0.25">
      <c r="A74" s="129">
        <v>51</v>
      </c>
      <c r="B74" s="3" t="s">
        <v>6</v>
      </c>
      <c r="C74" s="3" t="s">
        <v>505</v>
      </c>
      <c r="D74" s="3" t="s">
        <v>417</v>
      </c>
      <c r="E74" s="3" t="s">
        <v>362</v>
      </c>
      <c r="F74" s="3">
        <v>2025</v>
      </c>
      <c r="G74" s="3">
        <v>136</v>
      </c>
      <c r="H74" s="1"/>
    </row>
    <row r="75" spans="1:8" x14ac:dyDescent="0.25">
      <c r="A75" s="129">
        <v>50</v>
      </c>
      <c r="B75" s="3" t="s">
        <v>6</v>
      </c>
      <c r="C75" s="3" t="s">
        <v>492</v>
      </c>
      <c r="D75" s="3" t="s">
        <v>237</v>
      </c>
      <c r="E75" s="3" t="s">
        <v>495</v>
      </c>
      <c r="F75" s="3">
        <v>2025</v>
      </c>
      <c r="G75" s="3">
        <v>592</v>
      </c>
      <c r="H75" s="1"/>
    </row>
    <row r="76" spans="1:8" x14ac:dyDescent="0.25">
      <c r="A76" s="129">
        <v>49</v>
      </c>
      <c r="B76" s="3" t="s">
        <v>6</v>
      </c>
      <c r="C76" s="3" t="s">
        <v>408</v>
      </c>
      <c r="D76" s="3" t="s">
        <v>409</v>
      </c>
      <c r="E76" s="3" t="s">
        <v>97</v>
      </c>
      <c r="F76" s="3">
        <v>2025</v>
      </c>
      <c r="G76" s="3">
        <v>224</v>
      </c>
      <c r="H76" s="1"/>
    </row>
    <row r="77" spans="1:8" x14ac:dyDescent="0.25">
      <c r="A77" s="129">
        <v>48</v>
      </c>
      <c r="B77" s="3" t="s">
        <v>6</v>
      </c>
      <c r="C77" s="3" t="s">
        <v>496</v>
      </c>
      <c r="D77" s="3" t="s">
        <v>493</v>
      </c>
      <c r="E77" s="3" t="s">
        <v>498</v>
      </c>
      <c r="F77" s="3">
        <v>2026</v>
      </c>
      <c r="G77" s="3">
        <v>192</v>
      </c>
    </row>
    <row r="78" spans="1:8" x14ac:dyDescent="0.25">
      <c r="A78" s="129">
        <v>47</v>
      </c>
      <c r="B78" s="3" t="s">
        <v>6</v>
      </c>
      <c r="C78" s="3" t="s">
        <v>497</v>
      </c>
      <c r="D78" s="3" t="s">
        <v>494</v>
      </c>
      <c r="E78" s="3" t="s">
        <v>156</v>
      </c>
      <c r="F78" s="3">
        <v>2024</v>
      </c>
      <c r="G78" s="3">
        <v>416</v>
      </c>
    </row>
    <row r="79" spans="1:8" x14ac:dyDescent="0.25">
      <c r="A79" s="129">
        <v>46</v>
      </c>
      <c r="B79" s="3" t="s">
        <v>6</v>
      </c>
      <c r="C79" s="3" t="s">
        <v>490</v>
      </c>
      <c r="D79" s="3" t="s">
        <v>491</v>
      </c>
      <c r="E79" s="3" t="s">
        <v>489</v>
      </c>
      <c r="F79" s="3">
        <v>2026</v>
      </c>
      <c r="G79" s="3">
        <v>664</v>
      </c>
    </row>
    <row r="80" spans="1:8" x14ac:dyDescent="0.25">
      <c r="A80" s="129">
        <v>45</v>
      </c>
      <c r="B80" s="3" t="s">
        <v>6</v>
      </c>
      <c r="C80" s="3" t="s">
        <v>486</v>
      </c>
      <c r="D80" s="3" t="s">
        <v>487</v>
      </c>
      <c r="E80" s="3" t="s">
        <v>488</v>
      </c>
      <c r="F80" s="3">
        <v>2025</v>
      </c>
      <c r="G80" s="3">
        <v>392</v>
      </c>
    </row>
    <row r="81" spans="1:7" x14ac:dyDescent="0.25">
      <c r="A81" s="129">
        <v>44</v>
      </c>
      <c r="B81" s="3" t="s">
        <v>6</v>
      </c>
      <c r="C81" s="3" t="s">
        <v>209</v>
      </c>
      <c r="D81" s="3" t="s">
        <v>210</v>
      </c>
      <c r="E81" s="3" t="s">
        <v>41</v>
      </c>
      <c r="F81" s="3">
        <v>2022</v>
      </c>
      <c r="G81" s="3">
        <v>320</v>
      </c>
    </row>
    <row r="82" spans="1:7" x14ac:dyDescent="0.25">
      <c r="A82" s="129">
        <v>43</v>
      </c>
      <c r="B82" s="3" t="s">
        <v>148</v>
      </c>
      <c r="C82" s="3" t="s">
        <v>483</v>
      </c>
      <c r="D82" s="3" t="s">
        <v>485</v>
      </c>
      <c r="E82" s="3" t="s">
        <v>484</v>
      </c>
      <c r="F82" s="3">
        <v>2024</v>
      </c>
      <c r="G82" s="3">
        <v>296</v>
      </c>
    </row>
    <row r="83" spans="1:7" x14ac:dyDescent="0.25">
      <c r="A83" s="129">
        <v>42</v>
      </c>
      <c r="B83" s="3" t="s">
        <v>6</v>
      </c>
      <c r="C83" s="3" t="s">
        <v>320</v>
      </c>
      <c r="D83" s="3" t="s">
        <v>321</v>
      </c>
      <c r="E83" s="3" t="s">
        <v>97</v>
      </c>
      <c r="F83" s="3">
        <v>2025</v>
      </c>
      <c r="G83" s="3">
        <v>528</v>
      </c>
    </row>
    <row r="84" spans="1:7" x14ac:dyDescent="0.25">
      <c r="A84" s="129">
        <v>41</v>
      </c>
      <c r="B84" s="3" t="s">
        <v>6</v>
      </c>
      <c r="C84" s="3" t="s">
        <v>482</v>
      </c>
      <c r="D84" s="3" t="s">
        <v>481</v>
      </c>
      <c r="E84" s="3" t="s">
        <v>160</v>
      </c>
      <c r="F84" s="3">
        <v>2025</v>
      </c>
      <c r="G84" s="3">
        <v>392</v>
      </c>
    </row>
    <row r="85" spans="1:7" x14ac:dyDescent="0.25">
      <c r="A85" s="129">
        <v>40</v>
      </c>
      <c r="B85" s="3" t="s">
        <v>6</v>
      </c>
      <c r="C85" s="3" t="s">
        <v>82</v>
      </c>
      <c r="D85" s="3" t="s">
        <v>83</v>
      </c>
      <c r="E85" s="3" t="s">
        <v>480</v>
      </c>
      <c r="F85" s="3">
        <v>2024</v>
      </c>
      <c r="G85" s="3">
        <v>96</v>
      </c>
    </row>
    <row r="86" spans="1:7" x14ac:dyDescent="0.25">
      <c r="A86" s="129">
        <v>39</v>
      </c>
      <c r="B86" s="3" t="s">
        <v>6</v>
      </c>
      <c r="C86" s="3" t="s">
        <v>478</v>
      </c>
      <c r="D86" s="3" t="s">
        <v>479</v>
      </c>
      <c r="E86" s="3" t="s">
        <v>480</v>
      </c>
      <c r="F86" s="3">
        <v>2024</v>
      </c>
      <c r="G86" s="3">
        <v>96</v>
      </c>
    </row>
    <row r="87" spans="1:7" x14ac:dyDescent="0.25">
      <c r="A87" s="129">
        <v>38</v>
      </c>
      <c r="B87" s="3" t="s">
        <v>6</v>
      </c>
      <c r="C87" s="3" t="s">
        <v>477</v>
      </c>
      <c r="D87" s="3" t="s">
        <v>475</v>
      </c>
      <c r="E87" s="3" t="s">
        <v>230</v>
      </c>
      <c r="F87" s="3">
        <v>2024</v>
      </c>
      <c r="G87" s="3">
        <v>352</v>
      </c>
    </row>
    <row r="88" spans="1:7" x14ac:dyDescent="0.25">
      <c r="A88" s="129">
        <v>37</v>
      </c>
      <c r="B88" s="3" t="s">
        <v>6</v>
      </c>
      <c r="C88" s="3" t="s">
        <v>474</v>
      </c>
      <c r="D88" s="3" t="s">
        <v>476</v>
      </c>
      <c r="E88" s="3" t="s">
        <v>230</v>
      </c>
      <c r="F88" s="3">
        <v>2024</v>
      </c>
      <c r="G88" s="3">
        <v>352</v>
      </c>
    </row>
    <row r="89" spans="1:7" x14ac:dyDescent="0.25">
      <c r="A89" s="129">
        <v>36</v>
      </c>
      <c r="B89" s="3" t="s">
        <v>6</v>
      </c>
      <c r="C89" s="3" t="s">
        <v>472</v>
      </c>
      <c r="D89" s="3" t="s">
        <v>306</v>
      </c>
      <c r="E89" s="3" t="s">
        <v>230</v>
      </c>
      <c r="F89" s="3">
        <v>2026</v>
      </c>
      <c r="G89" s="3">
        <v>608</v>
      </c>
    </row>
    <row r="90" spans="1:7" x14ac:dyDescent="0.25">
      <c r="A90" s="129">
        <v>35</v>
      </c>
      <c r="B90" s="3" t="s">
        <v>6</v>
      </c>
      <c r="C90" s="3" t="s">
        <v>471</v>
      </c>
      <c r="D90" s="3" t="s">
        <v>306</v>
      </c>
      <c r="E90" s="3" t="s">
        <v>230</v>
      </c>
      <c r="F90" s="3">
        <v>2026</v>
      </c>
      <c r="G90" s="3">
        <v>616</v>
      </c>
    </row>
    <row r="91" spans="1:7" x14ac:dyDescent="0.25">
      <c r="A91" s="129">
        <v>34</v>
      </c>
      <c r="B91" s="3" t="s">
        <v>6</v>
      </c>
      <c r="C91" s="3" t="s">
        <v>470</v>
      </c>
      <c r="D91" s="3" t="s">
        <v>306</v>
      </c>
      <c r="E91" s="3" t="s">
        <v>230</v>
      </c>
      <c r="F91" s="3">
        <v>2026</v>
      </c>
      <c r="G91" s="3">
        <v>600</v>
      </c>
    </row>
    <row r="92" spans="1:7" x14ac:dyDescent="0.25">
      <c r="A92" s="129">
        <v>33</v>
      </c>
      <c r="B92" s="3" t="s">
        <v>6</v>
      </c>
      <c r="C92" s="3" t="s">
        <v>469</v>
      </c>
      <c r="D92" s="3" t="s">
        <v>306</v>
      </c>
      <c r="E92" s="3" t="s">
        <v>230</v>
      </c>
      <c r="F92" s="3">
        <v>2025</v>
      </c>
      <c r="G92" s="3">
        <v>800</v>
      </c>
    </row>
    <row r="93" spans="1:7" x14ac:dyDescent="0.25">
      <c r="A93" s="129">
        <v>32</v>
      </c>
      <c r="B93" s="3" t="s">
        <v>6</v>
      </c>
      <c r="C93" s="3" t="s">
        <v>327</v>
      </c>
      <c r="D93" s="3" t="s">
        <v>306</v>
      </c>
      <c r="E93" s="3" t="s">
        <v>230</v>
      </c>
      <c r="F93" s="3">
        <v>2026</v>
      </c>
      <c r="G93" s="3">
        <v>688</v>
      </c>
    </row>
    <row r="94" spans="1:7" x14ac:dyDescent="0.25">
      <c r="A94" s="129">
        <v>31</v>
      </c>
      <c r="B94" s="3" t="s">
        <v>6</v>
      </c>
      <c r="C94" s="3" t="s">
        <v>468</v>
      </c>
      <c r="D94" s="3" t="s">
        <v>473</v>
      </c>
      <c r="E94" s="3" t="s">
        <v>230</v>
      </c>
      <c r="F94" s="3">
        <v>2025</v>
      </c>
      <c r="G94" s="3">
        <v>536</v>
      </c>
    </row>
    <row r="95" spans="1:7" x14ac:dyDescent="0.25">
      <c r="A95" s="129">
        <v>30</v>
      </c>
      <c r="B95" s="3" t="s">
        <v>6</v>
      </c>
      <c r="C95" s="3" t="s">
        <v>466</v>
      </c>
      <c r="D95" s="3" t="s">
        <v>467</v>
      </c>
      <c r="E95" s="3" t="s">
        <v>230</v>
      </c>
      <c r="F95" s="3">
        <v>2025</v>
      </c>
      <c r="G95" s="3">
        <v>600</v>
      </c>
    </row>
    <row r="96" spans="1:7" x14ac:dyDescent="0.25">
      <c r="A96" s="129">
        <v>29</v>
      </c>
      <c r="B96" s="3" t="s">
        <v>6</v>
      </c>
      <c r="C96" s="3" t="s">
        <v>465</v>
      </c>
      <c r="D96" s="3" t="s">
        <v>241</v>
      </c>
      <c r="E96" s="3" t="s">
        <v>230</v>
      </c>
      <c r="F96" s="3">
        <v>2025</v>
      </c>
      <c r="G96" s="3">
        <v>496</v>
      </c>
    </row>
    <row r="97" spans="1:7" x14ac:dyDescent="0.25">
      <c r="A97" s="129">
        <v>28</v>
      </c>
      <c r="B97" s="3" t="s">
        <v>6</v>
      </c>
      <c r="C97" s="3" t="s">
        <v>463</v>
      </c>
      <c r="D97" s="3" t="s">
        <v>417</v>
      </c>
      <c r="E97" s="3" t="s">
        <v>464</v>
      </c>
      <c r="F97" s="3">
        <v>2025</v>
      </c>
      <c r="G97" s="3">
        <v>480</v>
      </c>
    </row>
    <row r="98" spans="1:7" x14ac:dyDescent="0.25">
      <c r="A98" s="129">
        <v>27</v>
      </c>
      <c r="B98" s="3" t="s">
        <v>6</v>
      </c>
      <c r="C98" s="3" t="s">
        <v>236</v>
      </c>
      <c r="D98" s="3" t="s">
        <v>237</v>
      </c>
      <c r="E98" s="3" t="s">
        <v>457</v>
      </c>
      <c r="F98" s="3">
        <v>2025</v>
      </c>
      <c r="G98" s="3">
        <v>96</v>
      </c>
    </row>
    <row r="99" spans="1:7" x14ac:dyDescent="0.25">
      <c r="A99" s="129">
        <v>26</v>
      </c>
      <c r="B99" s="3" t="s">
        <v>6</v>
      </c>
      <c r="C99" s="3" t="s">
        <v>458</v>
      </c>
      <c r="D99" s="3" t="s">
        <v>462</v>
      </c>
      <c r="E99" s="3" t="s">
        <v>233</v>
      </c>
      <c r="F99" s="3">
        <v>2025</v>
      </c>
      <c r="G99" s="3">
        <v>240</v>
      </c>
    </row>
    <row r="100" spans="1:7" x14ac:dyDescent="0.25">
      <c r="A100" s="129">
        <v>25</v>
      </c>
      <c r="B100" s="3" t="s">
        <v>6</v>
      </c>
      <c r="C100" s="3" t="s">
        <v>459</v>
      </c>
      <c r="D100" s="3" t="s">
        <v>462</v>
      </c>
      <c r="E100" s="3" t="s">
        <v>233</v>
      </c>
      <c r="F100" s="3">
        <v>2025</v>
      </c>
      <c r="G100" s="3">
        <v>232</v>
      </c>
    </row>
    <row r="101" spans="1:7" x14ac:dyDescent="0.25">
      <c r="A101" s="129">
        <v>24</v>
      </c>
      <c r="B101" s="3" t="s">
        <v>6</v>
      </c>
      <c r="C101" s="3" t="s">
        <v>461</v>
      </c>
      <c r="D101" s="3" t="s">
        <v>460</v>
      </c>
      <c r="E101" s="3" t="s">
        <v>233</v>
      </c>
      <c r="F101" s="3">
        <v>2025</v>
      </c>
      <c r="G101" s="3">
        <v>240</v>
      </c>
    </row>
    <row r="102" spans="1:7" x14ac:dyDescent="0.25">
      <c r="A102" s="129">
        <v>23</v>
      </c>
      <c r="B102" s="3" t="s">
        <v>6</v>
      </c>
      <c r="C102" s="3" t="s">
        <v>456</v>
      </c>
      <c r="D102" s="3" t="s">
        <v>190</v>
      </c>
      <c r="E102" s="3" t="s">
        <v>233</v>
      </c>
      <c r="F102" s="3">
        <v>2025</v>
      </c>
      <c r="G102" s="3">
        <v>464</v>
      </c>
    </row>
    <row r="103" spans="1:7" x14ac:dyDescent="0.25">
      <c r="A103" s="129">
        <v>22</v>
      </c>
      <c r="B103" s="3" t="s">
        <v>6</v>
      </c>
      <c r="C103" s="3" t="s">
        <v>328</v>
      </c>
      <c r="D103" s="3" t="s">
        <v>190</v>
      </c>
      <c r="E103" s="3" t="s">
        <v>233</v>
      </c>
      <c r="F103" s="3">
        <v>2025</v>
      </c>
      <c r="G103" s="3">
        <v>480</v>
      </c>
    </row>
    <row r="104" spans="1:7" x14ac:dyDescent="0.25">
      <c r="A104" s="129">
        <v>21</v>
      </c>
      <c r="B104" s="3" t="s">
        <v>6</v>
      </c>
      <c r="C104" s="3" t="s">
        <v>243</v>
      </c>
      <c r="D104" s="3" t="s">
        <v>244</v>
      </c>
      <c r="E104" s="3" t="s">
        <v>156</v>
      </c>
      <c r="F104" s="3">
        <v>2024</v>
      </c>
      <c r="G104" s="3">
        <v>496</v>
      </c>
    </row>
    <row r="105" spans="1:7" x14ac:dyDescent="0.25">
      <c r="A105" s="129">
        <v>20</v>
      </c>
      <c r="B105" s="3" t="s">
        <v>6</v>
      </c>
      <c r="C105" s="3" t="s">
        <v>454</v>
      </c>
      <c r="D105" s="3" t="s">
        <v>455</v>
      </c>
      <c r="E105" s="3" t="s">
        <v>156</v>
      </c>
      <c r="F105" s="3">
        <v>2025</v>
      </c>
      <c r="G105" s="3">
        <v>592</v>
      </c>
    </row>
    <row r="106" spans="1:7" x14ac:dyDescent="0.25">
      <c r="A106" s="129">
        <v>19</v>
      </c>
      <c r="B106" s="3" t="s">
        <v>6</v>
      </c>
      <c r="C106" s="3" t="s">
        <v>453</v>
      </c>
      <c r="D106" s="3" t="s">
        <v>381</v>
      </c>
      <c r="E106" s="3" t="s">
        <v>156</v>
      </c>
      <c r="F106" s="3">
        <v>2024</v>
      </c>
      <c r="G106" s="3">
        <v>96</v>
      </c>
    </row>
    <row r="107" spans="1:7" x14ac:dyDescent="0.25">
      <c r="A107" s="129">
        <v>18</v>
      </c>
      <c r="B107" s="3" t="s">
        <v>6</v>
      </c>
      <c r="C107" s="3" t="s">
        <v>448</v>
      </c>
      <c r="D107" s="3" t="s">
        <v>381</v>
      </c>
      <c r="E107" s="3" t="s">
        <v>156</v>
      </c>
      <c r="F107" s="3">
        <v>2024</v>
      </c>
      <c r="G107" s="3">
        <v>400</v>
      </c>
    </row>
    <row r="108" spans="1:7" x14ac:dyDescent="0.25">
      <c r="A108" s="129">
        <v>17</v>
      </c>
      <c r="B108" s="3" t="s">
        <v>6</v>
      </c>
      <c r="C108" s="3" t="s">
        <v>380</v>
      </c>
      <c r="D108" s="3" t="s">
        <v>381</v>
      </c>
      <c r="E108" s="3" t="s">
        <v>156</v>
      </c>
      <c r="F108" s="3">
        <v>2024</v>
      </c>
      <c r="G108" s="3">
        <v>432</v>
      </c>
    </row>
    <row r="109" spans="1:7" x14ac:dyDescent="0.25">
      <c r="A109" s="129">
        <v>16</v>
      </c>
      <c r="B109" s="3" t="s">
        <v>6</v>
      </c>
      <c r="C109" s="3" t="s">
        <v>450</v>
      </c>
      <c r="D109" s="3" t="s">
        <v>446</v>
      </c>
      <c r="E109" s="3" t="s">
        <v>266</v>
      </c>
      <c r="F109" s="3">
        <v>2025</v>
      </c>
      <c r="G109" s="3">
        <v>1376</v>
      </c>
    </row>
    <row r="110" spans="1:7" x14ac:dyDescent="0.25">
      <c r="A110" s="129">
        <v>15</v>
      </c>
      <c r="B110" s="3" t="s">
        <v>6</v>
      </c>
      <c r="C110" s="3" t="s">
        <v>305</v>
      </c>
      <c r="D110" s="3" t="s">
        <v>306</v>
      </c>
      <c r="E110" s="3" t="s">
        <v>242</v>
      </c>
      <c r="F110" s="3">
        <v>2025</v>
      </c>
      <c r="G110" s="3">
        <v>1304</v>
      </c>
    </row>
    <row r="111" spans="1:7" x14ac:dyDescent="0.25">
      <c r="A111" s="129">
        <v>14</v>
      </c>
      <c r="B111" s="3" t="s">
        <v>6</v>
      </c>
      <c r="C111" s="3" t="s">
        <v>240</v>
      </c>
      <c r="D111" s="3" t="s">
        <v>241</v>
      </c>
      <c r="E111" s="3" t="s">
        <v>242</v>
      </c>
      <c r="F111" s="3">
        <v>2024</v>
      </c>
      <c r="G111" s="3">
        <v>1511</v>
      </c>
    </row>
    <row r="112" spans="1:7" x14ac:dyDescent="0.25">
      <c r="A112" s="129">
        <v>13</v>
      </c>
      <c r="B112" s="3" t="s">
        <v>6</v>
      </c>
      <c r="C112" s="3" t="s">
        <v>449</v>
      </c>
      <c r="D112" s="3" t="s">
        <v>53</v>
      </c>
      <c r="E112" s="3" t="s">
        <v>34</v>
      </c>
      <c r="F112" s="3">
        <v>2026</v>
      </c>
      <c r="G112" s="3">
        <v>400</v>
      </c>
    </row>
    <row r="113" spans="1:7" x14ac:dyDescent="0.25">
      <c r="A113" s="129">
        <v>12</v>
      </c>
      <c r="B113" s="3" t="s">
        <v>6</v>
      </c>
      <c r="C113" s="3" t="s">
        <v>444</v>
      </c>
      <c r="D113" s="3" t="s">
        <v>445</v>
      </c>
      <c r="E113" s="3" t="s">
        <v>233</v>
      </c>
      <c r="F113" s="3">
        <v>2025</v>
      </c>
      <c r="G113" s="3">
        <v>572</v>
      </c>
    </row>
    <row r="114" spans="1:7" x14ac:dyDescent="0.25">
      <c r="A114" s="129">
        <v>11</v>
      </c>
      <c r="B114" s="3" t="s">
        <v>6</v>
      </c>
      <c r="C114" s="3" t="s">
        <v>442</v>
      </c>
      <c r="D114" s="3" t="s">
        <v>443</v>
      </c>
      <c r="E114" s="3" t="s">
        <v>233</v>
      </c>
      <c r="F114" s="3">
        <v>2025</v>
      </c>
      <c r="G114" s="3">
        <v>736</v>
      </c>
    </row>
    <row r="115" spans="1:7" x14ac:dyDescent="0.25">
      <c r="A115" s="129">
        <v>10</v>
      </c>
      <c r="B115" s="3" t="s">
        <v>6</v>
      </c>
      <c r="C115" s="3" t="s">
        <v>451</v>
      </c>
      <c r="D115" s="3" t="s">
        <v>428</v>
      </c>
      <c r="E115" s="3" t="s">
        <v>266</v>
      </c>
      <c r="F115" s="3">
        <v>2024</v>
      </c>
      <c r="G115" s="3">
        <v>528</v>
      </c>
    </row>
    <row r="116" spans="1:7" x14ac:dyDescent="0.25">
      <c r="A116" s="129">
        <v>9</v>
      </c>
      <c r="B116" s="3" t="s">
        <v>6</v>
      </c>
      <c r="C116" s="3" t="s">
        <v>349</v>
      </c>
      <c r="D116" s="3" t="s">
        <v>350</v>
      </c>
      <c r="E116" s="3" t="s">
        <v>259</v>
      </c>
      <c r="F116" s="3">
        <v>2025</v>
      </c>
      <c r="G116" s="3">
        <v>288</v>
      </c>
    </row>
    <row r="117" spans="1:7" x14ac:dyDescent="0.25">
      <c r="A117" s="129">
        <v>8</v>
      </c>
      <c r="B117" s="3" t="s">
        <v>6</v>
      </c>
      <c r="C117" s="3" t="s">
        <v>452</v>
      </c>
      <c r="D117" s="3" t="s">
        <v>447</v>
      </c>
      <c r="E117" s="3" t="s">
        <v>292</v>
      </c>
      <c r="F117" s="3">
        <v>2026</v>
      </c>
      <c r="G117" s="3">
        <v>304</v>
      </c>
    </row>
    <row r="118" spans="1:7" x14ac:dyDescent="0.25">
      <c r="A118" s="129">
        <v>7</v>
      </c>
      <c r="B118" s="3" t="s">
        <v>6</v>
      </c>
      <c r="C118" s="3" t="s">
        <v>419</v>
      </c>
      <c r="D118" s="3" t="s">
        <v>447</v>
      </c>
      <c r="E118" s="3" t="s">
        <v>292</v>
      </c>
      <c r="F118" s="3">
        <v>2025</v>
      </c>
      <c r="G118" s="3">
        <v>608</v>
      </c>
    </row>
    <row r="119" spans="1:7" x14ac:dyDescent="0.25">
      <c r="A119" s="129">
        <v>6</v>
      </c>
      <c r="B119" s="3" t="s">
        <v>6</v>
      </c>
      <c r="C119" s="3" t="s">
        <v>140</v>
      </c>
      <c r="D119" s="3" t="s">
        <v>447</v>
      </c>
      <c r="E119" s="3" t="s">
        <v>292</v>
      </c>
      <c r="F119" s="3">
        <v>2023</v>
      </c>
      <c r="G119" s="3">
        <v>472</v>
      </c>
    </row>
    <row r="120" spans="1:7" x14ac:dyDescent="0.25">
      <c r="A120" s="129">
        <v>5</v>
      </c>
      <c r="B120" s="3" t="s">
        <v>6</v>
      </c>
      <c r="C120" s="3" t="s">
        <v>124</v>
      </c>
      <c r="D120" s="3" t="s">
        <v>447</v>
      </c>
      <c r="E120" s="3" t="s">
        <v>292</v>
      </c>
      <c r="F120" s="3">
        <v>2022</v>
      </c>
      <c r="G120" s="3">
        <v>400</v>
      </c>
    </row>
    <row r="121" spans="1:7" x14ac:dyDescent="0.25">
      <c r="A121" s="129">
        <v>4</v>
      </c>
      <c r="B121" s="3" t="s">
        <v>6</v>
      </c>
      <c r="C121" s="3" t="s">
        <v>5</v>
      </c>
      <c r="D121" s="3" t="s">
        <v>447</v>
      </c>
      <c r="E121" s="3" t="s">
        <v>292</v>
      </c>
      <c r="F121" s="3">
        <v>2021</v>
      </c>
      <c r="G121" s="3">
        <v>368</v>
      </c>
    </row>
    <row r="122" spans="1:7" x14ac:dyDescent="0.25">
      <c r="A122" s="129">
        <v>3</v>
      </c>
      <c r="B122" s="3" t="s">
        <v>148</v>
      </c>
      <c r="C122" s="3" t="s">
        <v>441</v>
      </c>
      <c r="D122" s="3" t="s">
        <v>439</v>
      </c>
      <c r="E122" s="3" t="s">
        <v>69</v>
      </c>
      <c r="F122" s="3">
        <v>2022</v>
      </c>
      <c r="G122" s="3">
        <v>768</v>
      </c>
    </row>
    <row r="123" spans="1:7" x14ac:dyDescent="0.25">
      <c r="A123" s="129">
        <v>2</v>
      </c>
      <c r="B123" s="3" t="s">
        <v>148</v>
      </c>
      <c r="C123" s="3" t="s">
        <v>440</v>
      </c>
      <c r="D123" s="3" t="s">
        <v>439</v>
      </c>
      <c r="E123" s="3" t="s">
        <v>69</v>
      </c>
      <c r="F123" s="3">
        <v>2022</v>
      </c>
      <c r="G123" s="3">
        <v>768</v>
      </c>
    </row>
    <row r="124" spans="1:7" x14ac:dyDescent="0.25">
      <c r="A124" s="129">
        <v>1</v>
      </c>
      <c r="B124" s="3" t="s">
        <v>148</v>
      </c>
      <c r="C124" s="3" t="s">
        <v>438</v>
      </c>
      <c r="D124" s="3" t="s">
        <v>439</v>
      </c>
      <c r="E124" s="3" t="s">
        <v>69</v>
      </c>
      <c r="F124" s="3">
        <v>2022</v>
      </c>
      <c r="G124" s="3">
        <v>512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K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Livros Finalizados</vt:lpstr>
      <vt:lpstr>Leitura Conjunta - Diana</vt:lpstr>
      <vt:lpstr>Leitura Ano Mês</vt:lpstr>
      <vt:lpstr>Biblioteca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Antunes</dc:creator>
  <cp:lastModifiedBy>Luiz Antunes</cp:lastModifiedBy>
  <dcterms:created xsi:type="dcterms:W3CDTF">2021-08-15T00:41:14Z</dcterms:created>
  <dcterms:modified xsi:type="dcterms:W3CDTF">2026-10-08T13:45:07Z</dcterms:modified>
</cp:coreProperties>
</file>