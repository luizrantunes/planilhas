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\Desktop\Pasta Geral\0 - Antunes\Planilhas\"/>
    </mc:Choice>
  </mc:AlternateContent>
  <xr:revisionPtr revIDLastSave="0" documentId="13_ncr:1_{F802DA73-0107-4B77-98D7-E3288662AD93}" xr6:coauthVersionLast="47" xr6:coauthVersionMax="47" xr10:uidLastSave="{00000000-0000-0000-0000-000000000000}"/>
  <bookViews>
    <workbookView xWindow="-120" yWindow="-120" windowWidth="29040" windowHeight="15720" xr2:uid="{185F8663-3FF1-4EF9-AA90-43B25B82DF02}"/>
  </bookViews>
  <sheets>
    <sheet name="Jogos Terminados" sheetId="1" r:id="rId1"/>
    <sheet name="Ranking" sheetId="2" r:id="rId2"/>
  </sheets>
  <definedNames>
    <definedName name="_xlnm._FilterDatabase" localSheetId="0" hidden="1">'Jogos Terminados'!$A$25:$K$380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7" i="1"/>
  <c r="N33" i="1"/>
  <c r="N32" i="1"/>
  <c r="T16" i="1"/>
  <c r="Q14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O51" i="1"/>
  <c r="O39" i="1"/>
  <c r="O40" i="1"/>
  <c r="N25" i="1"/>
  <c r="O41" i="1"/>
  <c r="O42" i="1"/>
  <c r="O43" i="1"/>
  <c r="O44" i="1"/>
  <c r="O45" i="1"/>
  <c r="O46" i="1"/>
  <c r="O47" i="1"/>
  <c r="O48" i="1"/>
  <c r="O49" i="1"/>
  <c r="O50" i="1"/>
  <c r="N26" i="1"/>
  <c r="N28" i="1"/>
  <c r="Q4" i="1"/>
  <c r="T13" i="1"/>
  <c r="Q20" i="1"/>
  <c r="T27" i="1"/>
  <c r="T18" i="1"/>
  <c r="T8" i="1"/>
  <c r="T14" i="1"/>
  <c r="T25" i="1"/>
  <c r="T24" i="1"/>
  <c r="T22" i="1"/>
  <c r="T21" i="1"/>
  <c r="T20" i="1"/>
  <c r="T19" i="1"/>
  <c r="T17" i="1"/>
  <c r="T15" i="1"/>
  <c r="T12" i="1"/>
  <c r="T11" i="1"/>
  <c r="T10" i="1"/>
  <c r="T9" i="1"/>
  <c r="T6" i="1"/>
  <c r="T7" i="1"/>
  <c r="T4" i="1"/>
  <c r="Q27" i="1"/>
  <c r="Q26" i="1"/>
  <c r="Q25" i="1"/>
  <c r="Q24" i="1"/>
  <c r="Q9" i="1"/>
  <c r="Q13" i="1"/>
  <c r="Q8" i="1"/>
  <c r="Q23" i="1"/>
  <c r="Q22" i="1"/>
  <c r="Q19" i="1"/>
  <c r="Q18" i="1"/>
  <c r="Q17" i="1"/>
  <c r="Q16" i="1"/>
  <c r="Q15" i="1"/>
  <c r="Q12" i="1"/>
  <c r="Q11" i="1"/>
  <c r="Q10" i="1"/>
  <c r="Q7" i="1"/>
  <c r="Q6" i="1"/>
  <c r="Q5" i="1"/>
  <c r="T33" i="1" l="1" a="1"/>
  <c r="T33" i="1" s="1"/>
  <c r="Q33" i="1" a="1"/>
  <c r="Q33" i="1" s="1"/>
  <c r="N34" i="1"/>
  <c r="N52" i="1"/>
  <c r="O52" i="1"/>
  <c r="Q34" i="1" a="1"/>
  <c r="Q34" i="1" s="1"/>
  <c r="Q31" i="1" a="1"/>
  <c r="Q31" i="1" s="1"/>
  <c r="N29" i="1"/>
  <c r="N27" i="1" s="1"/>
  <c r="N14" i="1" l="1"/>
  <c r="N13" i="1"/>
  <c r="N12" i="1"/>
  <c r="N11" i="1"/>
  <c r="N10" i="1"/>
  <c r="N9" i="1"/>
  <c r="N8" i="1"/>
  <c r="N7" i="1"/>
  <c r="N6" i="1"/>
  <c r="N5" i="1"/>
  <c r="N4" i="1"/>
  <c r="T26" i="1"/>
  <c r="T31" i="1" s="1" a="1"/>
  <c r="T31" i="1" s="1"/>
  <c r="T23" i="1"/>
  <c r="T32" i="1" s="1" a="1"/>
  <c r="T32" i="1" s="1"/>
  <c r="T5" i="1"/>
  <c r="W5" i="1"/>
  <c r="Q21" i="1"/>
  <c r="Q35" i="1" s="1" a="1"/>
  <c r="Q35" i="1" s="1"/>
  <c r="W20" i="1"/>
  <c r="W21" i="1"/>
  <c r="W12" i="1"/>
  <c r="W18" i="1"/>
  <c r="W17" i="1"/>
  <c r="W19" i="1"/>
  <c r="W15" i="1"/>
  <c r="W16" i="1"/>
  <c r="W11" i="1"/>
  <c r="W14" i="1"/>
  <c r="W10" i="1"/>
  <c r="W13" i="1"/>
  <c r="W8" i="1"/>
  <c r="W7" i="1"/>
  <c r="W9" i="1"/>
  <c r="W6" i="1"/>
  <c r="W4" i="1"/>
  <c r="N21" i="1"/>
  <c r="N20" i="1"/>
  <c r="N19" i="1"/>
  <c r="N18" i="1"/>
  <c r="T35" i="1" l="1" a="1"/>
  <c r="T35" i="1" s="1"/>
  <c r="Q32" i="1" a="1"/>
  <c r="Q32" i="1" s="1"/>
  <c r="T34" i="1" a="1"/>
  <c r="T34" i="1" s="1"/>
  <c r="T28" i="1"/>
  <c r="W22" i="1"/>
  <c r="Q28" i="1"/>
  <c r="N22" i="1"/>
  <c r="N15" i="1"/>
  <c r="T36" i="1" l="1"/>
  <c r="Q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Antunes</author>
  </authors>
  <commentList>
    <comment ref="B29" authorId="0" shapeId="0" xr:uid="{EB79BF7E-34C2-457D-A03A-177C3E4F36F9}">
      <text>
        <r>
          <rPr>
            <sz val="9"/>
            <color indexed="81"/>
            <rFont val="Segoe UI"/>
            <family val="2"/>
          </rPr>
          <t>Terminado a primeira vez em agosto de 2017 no GBA.</t>
        </r>
      </text>
    </comment>
    <comment ref="B36" authorId="0" shapeId="0" xr:uid="{69180A38-FD18-4CF3-B824-6957F3896F86}">
      <text>
        <r>
          <rPr>
            <sz val="9"/>
            <color indexed="81"/>
            <rFont val="Segoe UI"/>
            <family val="2"/>
          </rPr>
          <t>Terminado a primeira vez em fevereiro de 2018 no Wii.</t>
        </r>
      </text>
    </comment>
    <comment ref="B50" authorId="0" shapeId="0" xr:uid="{A1BAF373-B78B-4DA0-A097-23F2836BFC97}">
      <text>
        <r>
          <rPr>
            <sz val="9"/>
            <color indexed="81"/>
            <rFont val="Segoe UI"/>
            <charset val="1"/>
          </rPr>
          <t>Terminado a primeira vez em agosto de 2018 no Nintendo DS.</t>
        </r>
      </text>
    </comment>
    <comment ref="K51" authorId="0" shapeId="0" xr:uid="{87C43352-A885-4FB5-952A-54F3D25B9347}">
      <text>
        <r>
          <rPr>
            <sz val="9"/>
            <color indexed="81"/>
            <rFont val="Segoe UI"/>
          </rPr>
          <t>Steam. 🏆</t>
        </r>
      </text>
    </comment>
    <comment ref="B55" authorId="0" shapeId="0" xr:uid="{10BB780E-2ED7-4B7F-9675-3813645C14C6}">
      <text>
        <r>
          <rPr>
            <b/>
            <sz val="9"/>
            <color indexed="81"/>
            <rFont val="Segoe UI"/>
            <family val="2"/>
          </rPr>
          <t>Luiz Antunes:</t>
        </r>
        <r>
          <rPr>
            <sz val="9"/>
            <color indexed="81"/>
            <rFont val="Segoe UI"/>
            <family val="2"/>
          </rPr>
          <t xml:space="preserve">
Finalizado a primeira vez em abril de 2017 no Nintendo Wii.</t>
        </r>
      </text>
    </comment>
    <comment ref="B61" authorId="0" shapeId="0" xr:uid="{FAD0363F-E2F9-4D56-B746-762891FE605B}">
      <text>
        <r>
          <rPr>
            <sz val="9"/>
            <color indexed="81"/>
            <rFont val="Segoe UI"/>
            <family val="2"/>
          </rPr>
          <t>Terminado a primeira vez em março de 2015 no PS3.</t>
        </r>
      </text>
    </comment>
    <comment ref="K65" authorId="0" shapeId="0" xr:uid="{F434F529-8C4A-40E4-BEDF-4FA3BBE76FF2}">
      <text>
        <r>
          <rPr>
            <sz val="9"/>
            <color indexed="81"/>
            <rFont val="Segoe UI"/>
            <family val="2"/>
          </rPr>
          <t>Steam. 🏆</t>
        </r>
      </text>
    </comment>
    <comment ref="K66" authorId="0" shapeId="0" xr:uid="{58A8BB69-570D-4A3B-BB60-5653D9701B26}">
      <text>
        <r>
          <rPr>
            <sz val="9"/>
            <color indexed="81"/>
            <rFont val="Segoe UI"/>
            <family val="2"/>
          </rPr>
          <t>Steam. 🏆</t>
        </r>
      </text>
    </comment>
    <comment ref="K67" authorId="0" shapeId="0" xr:uid="{69012CFF-78EB-450F-B6D1-9D69AFD927BF}">
      <text>
        <r>
          <rPr>
            <sz val="9"/>
            <color indexed="81"/>
            <rFont val="Segoe UI"/>
            <family val="2"/>
          </rPr>
          <t>Steam. 🏆</t>
        </r>
      </text>
    </comment>
    <comment ref="K71" authorId="0" shapeId="0" xr:uid="{8C4F9BFF-74AC-4ACA-9A04-79B7F3034B9A}">
      <text>
        <r>
          <rPr>
            <sz val="9"/>
            <color indexed="81"/>
            <rFont val="Segoe UI"/>
            <family val="2"/>
          </rPr>
          <t>Steam. 🏆</t>
        </r>
      </text>
    </comment>
    <comment ref="K72" authorId="0" shapeId="0" xr:uid="{F11AC0C8-92E2-498E-B0C2-07A76D776C80}">
      <text>
        <r>
          <rPr>
            <sz val="9"/>
            <color indexed="81"/>
            <rFont val="Segoe UI"/>
            <family val="2"/>
          </rPr>
          <t>Steam. 🏆</t>
        </r>
      </text>
    </comment>
    <comment ref="B74" authorId="0" shapeId="0" xr:uid="{715A17A7-0D5B-4325-98E8-95522A198B12}">
      <text>
        <r>
          <rPr>
            <sz val="9"/>
            <color indexed="81"/>
            <rFont val="Segoe UI"/>
            <charset val="1"/>
          </rPr>
          <t>Terminado com o Renan no modo multiplayer.</t>
        </r>
      </text>
    </comment>
    <comment ref="K75" authorId="0" shapeId="0" xr:uid="{24053EB1-DC5D-433D-9740-CBF4DDD52B99}">
      <text>
        <r>
          <rPr>
            <sz val="9"/>
            <color indexed="81"/>
            <rFont val="Segoe UI"/>
            <family val="2"/>
          </rPr>
          <t>Steam. 🏆</t>
        </r>
      </text>
    </comment>
    <comment ref="K78" authorId="0" shapeId="0" xr:uid="{B81A0B8E-2A9C-4761-9E63-6C0D428095A2}">
      <text>
        <r>
          <rPr>
            <sz val="9"/>
            <color indexed="81"/>
            <rFont val="Segoe UI"/>
            <family val="2"/>
          </rPr>
          <t>Steam. 🏆</t>
        </r>
      </text>
    </comment>
    <comment ref="K79" authorId="0" shapeId="0" xr:uid="{8FD4A7BC-110F-4239-9FD5-9C6B8D72F19E}">
      <text>
        <r>
          <rPr>
            <sz val="9"/>
            <color indexed="81"/>
            <rFont val="Segoe UI"/>
            <family val="2"/>
          </rPr>
          <t>Steam. 🏆</t>
        </r>
      </text>
    </comment>
    <comment ref="B87" authorId="0" shapeId="0" xr:uid="{CC5B1822-CAE5-4BEB-8C1F-320A8601A484}">
      <text>
        <r>
          <rPr>
            <sz val="9"/>
            <color indexed="81"/>
            <rFont val="Segoe UI"/>
            <family val="2"/>
          </rPr>
          <t>Terminado a primeira vez em janeiro de 2017 no Nintendo Wii U.</t>
        </r>
      </text>
    </comment>
    <comment ref="B89" authorId="0" shapeId="0" xr:uid="{DA5FD4A5-6116-4B02-8502-4C1F5BCB2D29}">
      <text>
        <r>
          <rPr>
            <sz val="9"/>
            <color indexed="81"/>
            <rFont val="Segoe UI"/>
            <family val="2"/>
          </rPr>
          <t>Terminado a primeira vez março de 2017 no Nintendo 64.</t>
        </r>
      </text>
    </comment>
    <comment ref="K94" authorId="0" shapeId="0" xr:uid="{870806FD-8169-4D1E-BB89-B1FBB6CCF679}">
      <text>
        <r>
          <rPr>
            <sz val="9"/>
            <color indexed="81"/>
            <rFont val="Segoe UI"/>
            <family val="2"/>
          </rPr>
          <t>Mastered. 🏆</t>
        </r>
      </text>
    </comment>
    <comment ref="K95" authorId="0" shapeId="0" xr:uid="{6FBBDF72-C4F8-4295-BF4C-C3A3A7D64EC9}">
      <text>
        <r>
          <rPr>
            <sz val="9"/>
            <color indexed="81"/>
            <rFont val="Segoe UI"/>
            <family val="2"/>
          </rPr>
          <t>Mastered. 🏆</t>
        </r>
      </text>
    </comment>
    <comment ref="K97" authorId="0" shapeId="0" xr:uid="{78BF13F1-441D-4369-B5F6-BAB913C91E1F}">
      <text>
        <r>
          <rPr>
            <sz val="9"/>
            <color indexed="81"/>
            <rFont val="Segoe UI"/>
            <family val="2"/>
          </rPr>
          <t>Steam. 🏆</t>
        </r>
      </text>
    </comment>
    <comment ref="B99" authorId="0" shapeId="0" xr:uid="{79B0231F-B769-471E-8DDD-606182AAE8D8}">
      <text>
        <r>
          <rPr>
            <sz val="9"/>
            <color indexed="81"/>
            <rFont val="Segoe UI"/>
            <family val="2"/>
          </rPr>
          <t>Terminado a primeira vez em agosto de 2018 no Nintendo 64.</t>
        </r>
      </text>
    </comment>
    <comment ref="B100" authorId="0" shapeId="0" xr:uid="{C4A1FF27-6988-4317-977C-AF6789147D82}">
      <text>
        <r>
          <rPr>
            <sz val="9"/>
            <color indexed="81"/>
            <rFont val="Segoe UI"/>
            <family val="2"/>
          </rPr>
          <t>Terminado a primeira vez em novembro de 2017 e a segunda vez em setembro de 2021.</t>
        </r>
      </text>
    </comment>
    <comment ref="B102" authorId="0" shapeId="0" xr:uid="{C5379A34-77EC-4847-964B-DAC5C80F9C61}">
      <text>
        <r>
          <rPr>
            <sz val="9"/>
            <color indexed="81"/>
            <rFont val="Segoe UI"/>
            <family val="2"/>
          </rPr>
          <t>Terminado a primeira vez em abril de 2021.</t>
        </r>
      </text>
    </comment>
    <comment ref="K103" authorId="0" shapeId="0" xr:uid="{C22EE9CE-0CF9-42FD-8E0B-6D1E90221529}">
      <text>
        <r>
          <rPr>
            <sz val="9"/>
            <color indexed="81"/>
            <rFont val="Segoe UI"/>
            <family val="2"/>
          </rPr>
          <t>Steam. 🏆</t>
        </r>
      </text>
    </comment>
    <comment ref="B111" authorId="0" shapeId="0" xr:uid="{2BDF9BD3-37EA-48B2-B6E3-6EBE25491186}">
      <text>
        <r>
          <rPr>
            <sz val="9"/>
            <color indexed="81"/>
            <rFont val="Segoe UI"/>
            <family val="2"/>
          </rPr>
          <t>Terminado a primeira vez em outubro de 2020 e a segunda vez em setembro de 2021.</t>
        </r>
      </text>
    </comment>
    <comment ref="K111" authorId="0" shapeId="0" xr:uid="{270DA57A-7223-4F47-A0E4-83CEBD3E4137}">
      <text>
        <r>
          <rPr>
            <sz val="9"/>
            <color indexed="81"/>
            <rFont val="Segoe UI"/>
            <family val="2"/>
          </rPr>
          <t>Steam. 🏆</t>
        </r>
      </text>
    </comment>
    <comment ref="B112" authorId="0" shapeId="0" xr:uid="{C6D55750-9617-483E-AADF-D2FBC08B65F2}">
      <text>
        <r>
          <rPr>
            <sz val="9"/>
            <color indexed="81"/>
            <rFont val="Segoe UI"/>
            <family val="2"/>
          </rPr>
          <t>Terminado a primeira vez em abril de 2016.</t>
        </r>
      </text>
    </comment>
    <comment ref="K112" authorId="0" shapeId="0" xr:uid="{F872EF68-9D39-4FAE-83F5-859C5C6D5DBD}">
      <text>
        <r>
          <rPr>
            <sz val="9"/>
            <color indexed="81"/>
            <rFont val="Segoe UI"/>
            <family val="2"/>
          </rPr>
          <t>Steam. 🏆</t>
        </r>
      </text>
    </comment>
    <comment ref="K113" authorId="0" shapeId="0" xr:uid="{A57D3985-61D6-455B-83AA-C807F538AC95}">
      <text>
        <r>
          <rPr>
            <sz val="9"/>
            <color indexed="81"/>
            <rFont val="Segoe UI"/>
            <family val="2"/>
          </rPr>
          <t>Steam. 🏆</t>
        </r>
      </text>
    </comment>
    <comment ref="K114" authorId="0" shapeId="0" xr:uid="{0EE3915B-9458-465D-B3A8-01EAEF646434}">
      <text>
        <r>
          <rPr>
            <sz val="9"/>
            <color indexed="81"/>
            <rFont val="Segoe UI"/>
            <family val="2"/>
          </rPr>
          <t>Sem a DLC Iceborne.
Steam. 🏆</t>
        </r>
      </text>
    </comment>
    <comment ref="B115" authorId="0" shapeId="0" xr:uid="{751C24CA-153E-4C88-BAF5-CE3115AF5430}">
      <text>
        <r>
          <rPr>
            <sz val="9"/>
            <color indexed="81"/>
            <rFont val="Segoe UI"/>
            <family val="2"/>
          </rPr>
          <t>Terminado a primeira vez em janeiro de 2016 e a segunda vez em março de 2020.</t>
        </r>
      </text>
    </comment>
    <comment ref="K116" authorId="0" shapeId="0" xr:uid="{41DB4FD9-7E76-4A14-8318-61DCE1CD6AE2}">
      <text>
        <r>
          <rPr>
            <sz val="9"/>
            <color indexed="81"/>
            <rFont val="Segoe UI"/>
            <family val="2"/>
          </rPr>
          <t>Steam. 🏆</t>
        </r>
      </text>
    </comment>
    <comment ref="K117" authorId="0" shapeId="0" xr:uid="{1900DFFF-6999-4587-AAD6-27A7108B6234}">
      <text>
        <r>
          <rPr>
            <sz val="9"/>
            <color indexed="81"/>
            <rFont val="Segoe UI"/>
            <family val="2"/>
          </rPr>
          <t>Steam. 🏆</t>
        </r>
      </text>
    </comment>
    <comment ref="K118" authorId="0" shapeId="0" xr:uid="{46B6E8FB-CFD9-40B2-A2A8-B8B28A3B135C}">
      <text>
        <r>
          <rPr>
            <sz val="9"/>
            <color indexed="81"/>
            <rFont val="Segoe UI"/>
            <family val="2"/>
          </rPr>
          <t>Steam. 🏆</t>
        </r>
      </text>
    </comment>
    <comment ref="B119" authorId="0" shapeId="0" xr:uid="{779C4FA7-486E-4B52-86E9-056FCB0DF624}">
      <text>
        <r>
          <rPr>
            <sz val="9"/>
            <color indexed="81"/>
            <rFont val="Segoe UI"/>
            <family val="2"/>
          </rPr>
          <t>Terminado a primeira vez em dezembro de 2018 e a segunda vez em outubro de 2020.</t>
        </r>
      </text>
    </comment>
    <comment ref="K119" authorId="0" shapeId="0" xr:uid="{E693D82B-E642-420F-B2CB-0EC0E06C8B4C}">
      <text>
        <r>
          <rPr>
            <sz val="9"/>
            <color indexed="81"/>
            <rFont val="Segoe UI"/>
            <family val="2"/>
          </rPr>
          <t>Mastered. 🏆</t>
        </r>
      </text>
    </comment>
    <comment ref="K121" authorId="0" shapeId="0" xr:uid="{94ACC32D-60D5-4B61-BCA8-F6D6DEAE275A}">
      <text>
        <r>
          <rPr>
            <sz val="9"/>
            <color indexed="81"/>
            <rFont val="Segoe UI"/>
            <family val="2"/>
          </rPr>
          <t>Steam. 🏆</t>
        </r>
      </text>
    </comment>
    <comment ref="K122" authorId="0" shapeId="0" xr:uid="{3F2EE378-976E-44FC-91AE-D941CEAA2F91}">
      <text>
        <r>
          <rPr>
            <sz val="9"/>
            <color indexed="81"/>
            <rFont val="Segoe UI"/>
            <family val="2"/>
          </rPr>
          <t>Steam. 🏆</t>
        </r>
      </text>
    </comment>
    <comment ref="B125" authorId="0" shapeId="0" xr:uid="{5C8EAF63-832C-4DBA-94F4-C996E1BEBDFD}">
      <text>
        <r>
          <rPr>
            <sz val="9"/>
            <color indexed="81"/>
            <rFont val="Segoe UI"/>
            <family val="2"/>
          </rPr>
          <t>Terminado também em maio de 2020, abril de 2021 e outubro de 2021.</t>
        </r>
      </text>
    </comment>
    <comment ref="K126" authorId="0" shapeId="0" xr:uid="{01D3C9A4-3EA8-4DC8-8D96-547323900371}">
      <text>
        <r>
          <rPr>
            <sz val="9"/>
            <color indexed="81"/>
            <rFont val="Segoe UI"/>
            <family val="2"/>
          </rPr>
          <t>Steam. 🏆</t>
        </r>
      </text>
    </comment>
    <comment ref="K127" authorId="0" shapeId="0" xr:uid="{9A3EC24D-46AE-4064-8879-9E19B130B7D2}">
      <text>
        <r>
          <rPr>
            <sz val="9"/>
            <color indexed="81"/>
            <rFont val="Segoe UI"/>
            <family val="2"/>
          </rPr>
          <t>Steam. 🏆</t>
        </r>
      </text>
    </comment>
    <comment ref="K128" authorId="0" shapeId="0" xr:uid="{1253D664-62F9-4EC4-8207-DBD81C75034C}">
      <text>
        <r>
          <rPr>
            <sz val="9"/>
            <color indexed="81"/>
            <rFont val="Segoe UI"/>
            <family val="2"/>
          </rPr>
          <t>Steam. 🏆</t>
        </r>
      </text>
    </comment>
    <comment ref="B129" authorId="0" shapeId="0" xr:uid="{91C0D6BA-1580-44FB-AF02-FE6036A2A442}">
      <text>
        <r>
          <rPr>
            <sz val="9"/>
            <color indexed="81"/>
            <rFont val="Segoe UI"/>
            <family val="2"/>
          </rPr>
          <t>Terminado a primeira em setembro de 2014 no PS3, a segunda em dezembro de 2014 no PS4, e a terceira em fevereiro de 2016 no PC.</t>
        </r>
      </text>
    </comment>
    <comment ref="B130" authorId="0" shapeId="0" xr:uid="{2011F468-F4EE-4DA6-B3D7-4362C5063563}">
      <text>
        <r>
          <rPr>
            <sz val="9"/>
            <color indexed="81"/>
            <rFont val="Segoe UI"/>
            <family val="2"/>
          </rPr>
          <t>Terminado a primeira vez em junho de 2020.</t>
        </r>
      </text>
    </comment>
    <comment ref="K130" authorId="0" shapeId="0" xr:uid="{9BB0E379-4C0E-47F9-86C7-5A27632D191D}">
      <text>
        <r>
          <rPr>
            <sz val="9"/>
            <color indexed="81"/>
            <rFont val="Segoe UI"/>
            <family val="2"/>
          </rPr>
          <t>Steam. 🏆</t>
        </r>
      </text>
    </comment>
    <comment ref="K131" authorId="0" shapeId="0" xr:uid="{4296DC33-C610-4CA7-8EEE-E19E02975F1F}">
      <text>
        <r>
          <rPr>
            <sz val="9"/>
            <color indexed="81"/>
            <rFont val="Segoe UI"/>
            <family val="2"/>
          </rPr>
          <t>Steam. 🏆</t>
        </r>
      </text>
    </comment>
    <comment ref="B132" authorId="0" shapeId="0" xr:uid="{5F9D5013-CE60-4CD3-B0E2-122E75B41F60}">
      <text>
        <r>
          <rPr>
            <sz val="9"/>
            <color indexed="81"/>
            <rFont val="Segoe UI"/>
            <family val="2"/>
          </rPr>
          <t>Terminado a primeira vez em setembro de 2021.</t>
        </r>
      </text>
    </comment>
    <comment ref="K132" authorId="0" shapeId="0" xr:uid="{5624F72F-8565-41DF-974D-BDD5EDF5BAE2}">
      <text>
        <r>
          <rPr>
            <sz val="9"/>
            <color indexed="81"/>
            <rFont val="Segoe UI"/>
            <family val="2"/>
          </rPr>
          <t>Steam. 🏆</t>
        </r>
      </text>
    </comment>
    <comment ref="K133" authorId="0" shapeId="0" xr:uid="{C3381E02-E8E2-4CE7-9666-E6CAE9BEF0B2}">
      <text>
        <r>
          <rPr>
            <sz val="9"/>
            <color indexed="81"/>
            <rFont val="Segoe UI"/>
            <family val="2"/>
          </rPr>
          <t>Steam. 🏆</t>
        </r>
      </text>
    </comment>
    <comment ref="K134" authorId="0" shapeId="0" xr:uid="{16EB5470-4ADC-402C-8029-466F2C14391A}">
      <text>
        <r>
          <rPr>
            <sz val="9"/>
            <color indexed="81"/>
            <rFont val="Segoe UI"/>
            <family val="2"/>
          </rPr>
          <t>Steam. 🏆</t>
        </r>
      </text>
    </comment>
    <comment ref="K135" authorId="0" shapeId="0" xr:uid="{E85A19DC-28EB-46AF-9D60-DBE60206C78A}">
      <text>
        <r>
          <rPr>
            <sz val="9"/>
            <color indexed="81"/>
            <rFont val="Segoe UI"/>
            <family val="2"/>
          </rPr>
          <t>Steam. 🏆</t>
        </r>
      </text>
    </comment>
    <comment ref="K140" authorId="0" shapeId="0" xr:uid="{3B8852AB-920F-4211-9676-378BD7376B8A}">
      <text>
        <r>
          <rPr>
            <sz val="9"/>
            <color indexed="81"/>
            <rFont val="Segoe UI"/>
            <family val="2"/>
          </rPr>
          <t>Steam. 🏆</t>
        </r>
      </text>
    </comment>
    <comment ref="B145" authorId="0" shapeId="0" xr:uid="{3F872E4E-3F5A-4C9C-9919-76374BB0EBF5}">
      <text>
        <r>
          <rPr>
            <sz val="9"/>
            <color indexed="81"/>
            <rFont val="Segoe UI"/>
            <family val="2"/>
          </rPr>
          <t>Terminado a primeira vez em novembro de 2017.</t>
        </r>
      </text>
    </comment>
    <comment ref="B147" authorId="0" shapeId="0" xr:uid="{1EBEE789-EDD5-4AA3-8E2E-B99F838F727B}">
      <text>
        <r>
          <rPr>
            <sz val="9"/>
            <color indexed="81"/>
            <rFont val="Segoe UI"/>
            <family val="2"/>
          </rPr>
          <t>Terminado também em maio de 2020, abril de 2021 e julho de 2022.</t>
        </r>
      </text>
    </comment>
    <comment ref="K147" authorId="0" shapeId="0" xr:uid="{27C2F691-8663-48E5-9EC9-772A0420FB69}">
      <text>
        <r>
          <rPr>
            <sz val="9"/>
            <color indexed="81"/>
            <rFont val="Segoe UI"/>
            <family val="2"/>
          </rPr>
          <t>Milestone. 🏆</t>
        </r>
      </text>
    </comment>
    <comment ref="B149" authorId="0" shapeId="0" xr:uid="{8FBC1D61-A843-4855-BC2F-95AC46A454B1}">
      <text>
        <r>
          <rPr>
            <sz val="9"/>
            <color indexed="81"/>
            <rFont val="Segoe UI"/>
            <family val="2"/>
          </rPr>
          <t>Terminado a primeira vez em outubro de 2020 e a terceira vez em novembro de 2022.</t>
        </r>
      </text>
    </comment>
    <comment ref="K149" authorId="0" shapeId="0" xr:uid="{932208EE-7DDB-46D9-9790-B2F3EDCCB46F}">
      <text>
        <r>
          <rPr>
            <sz val="9"/>
            <color indexed="81"/>
            <rFont val="Segoe UI"/>
            <family val="2"/>
          </rPr>
          <t>Conquista. 🏆</t>
        </r>
      </text>
    </comment>
    <comment ref="B150" authorId="0" shapeId="0" xr:uid="{9033FCCA-A2C9-42D3-8BB2-F67306E0D78F}">
      <text>
        <r>
          <rPr>
            <sz val="9"/>
            <color indexed="81"/>
            <rFont val="Segoe UI"/>
            <family val="2"/>
          </rPr>
          <t>Terminado a segunda vez em junho de 2022.</t>
        </r>
      </text>
    </comment>
    <comment ref="K150" authorId="0" shapeId="0" xr:uid="{27EB095D-BF43-4893-8F8E-5A6E5F53D97F}">
      <text>
        <r>
          <rPr>
            <sz val="9"/>
            <color indexed="81"/>
            <rFont val="Segoe UI"/>
            <family val="2"/>
          </rPr>
          <t>Milestone. 🏆</t>
        </r>
      </text>
    </comment>
    <comment ref="B151" authorId="0" shapeId="0" xr:uid="{46311CE9-557C-48FA-82BB-D60FD744B561}">
      <text>
        <r>
          <rPr>
            <sz val="9"/>
            <color indexed="81"/>
            <rFont val="Segoe UI"/>
            <family val="2"/>
          </rPr>
          <t>Terminado a primeira vez em novembro de 2017 e a terceira vez em maio de 2023.</t>
        </r>
      </text>
    </comment>
    <comment ref="K151" authorId="0" shapeId="0" xr:uid="{5CC573BD-25A3-4EF8-89CE-750E75A91149}">
      <text>
        <r>
          <rPr>
            <sz val="9"/>
            <color indexed="81"/>
            <rFont val="Segoe UI"/>
            <family val="2"/>
          </rPr>
          <t>Milestone. 🏆</t>
        </r>
      </text>
    </comment>
    <comment ref="K152" authorId="0" shapeId="0" xr:uid="{84351F2E-4F7A-4F69-BEF8-7B1B30F59FD5}">
      <text>
        <r>
          <rPr>
            <sz val="9"/>
            <color indexed="81"/>
            <rFont val="Segoe UI"/>
            <family val="2"/>
          </rPr>
          <t>Milestone. 🏆</t>
        </r>
      </text>
    </comment>
    <comment ref="K153" authorId="0" shapeId="0" xr:uid="{B7713487-CED7-42EC-845F-57EB2126F9C8}">
      <text>
        <r>
          <rPr>
            <sz val="9"/>
            <color indexed="81"/>
            <rFont val="Segoe UI"/>
            <family val="2"/>
          </rPr>
          <t>Milestone. 🏆</t>
        </r>
      </text>
    </comment>
    <comment ref="B154" authorId="0" shapeId="0" xr:uid="{850B6CE1-C427-4674-A6D7-52EDC28E6C77}">
      <text>
        <r>
          <rPr>
            <sz val="9"/>
            <color indexed="81"/>
            <rFont val="Segoe UI"/>
            <family val="2"/>
          </rPr>
          <t>Terminado a primeira vez em março de 2016.</t>
        </r>
      </text>
    </comment>
    <comment ref="K154" authorId="0" shapeId="0" xr:uid="{786420A4-584B-42D0-926C-5FD495A0B6DB}">
      <text>
        <r>
          <rPr>
            <sz val="9"/>
            <color indexed="81"/>
            <rFont val="Segoe UI"/>
            <family val="2"/>
          </rPr>
          <t>Steam. 🏆</t>
        </r>
      </text>
    </comment>
    <comment ref="K155" authorId="0" shapeId="0" xr:uid="{CD96245E-D83A-40B4-8F35-F84244CD7517}">
      <text>
        <r>
          <rPr>
            <sz val="9"/>
            <color indexed="81"/>
            <rFont val="Segoe UI"/>
            <family val="2"/>
          </rPr>
          <t>Mastered. 🏆</t>
        </r>
      </text>
    </comment>
    <comment ref="K156" authorId="0" shapeId="0" xr:uid="{7989B93E-79CC-4091-9DD5-382D18031879}">
      <text>
        <r>
          <rPr>
            <sz val="9"/>
            <color indexed="81"/>
            <rFont val="Segoe UI"/>
            <family val="2"/>
          </rPr>
          <t>Mastered. 🏆</t>
        </r>
      </text>
    </comment>
    <comment ref="B157" authorId="0" shapeId="0" xr:uid="{A61A25F6-B2D6-44DF-995D-9A86D8D3B5E5}">
      <text>
        <r>
          <rPr>
            <sz val="9"/>
            <color indexed="81"/>
            <rFont val="Segoe UI"/>
            <family val="2"/>
          </rPr>
          <t>Terminado a primeira vez em agosto de 2017 em 100%.</t>
        </r>
      </text>
    </comment>
    <comment ref="K157" authorId="0" shapeId="0" xr:uid="{61F4A3F2-AFA8-447E-A0B4-240C5064ED70}">
      <text>
        <r>
          <rPr>
            <sz val="9"/>
            <color indexed="81"/>
            <rFont val="Segoe UI"/>
            <family val="2"/>
          </rPr>
          <t>Mastered. 🏆</t>
        </r>
      </text>
    </comment>
    <comment ref="B159" authorId="0" shapeId="0" xr:uid="{28B8ABE6-5D91-43B4-B634-39EC652C5CA9}">
      <text>
        <r>
          <rPr>
            <sz val="9"/>
            <color indexed="81"/>
            <rFont val="Segoe UI"/>
            <family val="2"/>
          </rPr>
          <t>Terminado a segunda vez em abril de 2023.</t>
        </r>
      </text>
    </comment>
    <comment ref="B160" authorId="0" shapeId="0" xr:uid="{2B0CD764-68B3-49AA-BF28-3F3DF8EFEBB3}">
      <text>
        <r>
          <rPr>
            <sz val="9"/>
            <color indexed="81"/>
            <rFont val="Segoe UI"/>
            <family val="2"/>
          </rPr>
          <t>Terminado também em maio de 2020, outubro de 2021 e julho de 2022.</t>
        </r>
      </text>
    </comment>
    <comment ref="B161" authorId="0" shapeId="0" xr:uid="{FF0C7A53-FC07-4B14-8C56-73FFE87227CF}">
      <text>
        <r>
          <rPr>
            <sz val="9"/>
            <color indexed="81"/>
            <rFont val="Segoe UI"/>
            <family val="2"/>
          </rPr>
          <t>Terminado a Pokedex no Shield.</t>
        </r>
      </text>
    </comment>
    <comment ref="K163" authorId="0" shapeId="0" xr:uid="{44E9802C-DD50-4A6B-8202-04BC4D1CC98F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65" authorId="0" shapeId="0" xr:uid="{CB9BD369-C3A8-45A8-9703-27C4CF89E4FC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166" authorId="0" shapeId="0" xr:uid="{1D3C92CD-F374-4957-9839-77C103AC5195}">
      <text>
        <r>
          <rPr>
            <sz val="9"/>
            <color indexed="81"/>
            <rFont val="Segoe UI"/>
            <family val="2"/>
          </rPr>
          <t>Terminado a primeira vez em dezembro de 2018 e a terceira vez em agosto de 2022.</t>
        </r>
      </text>
    </comment>
    <comment ref="B167" authorId="0" shapeId="0" xr:uid="{319BEAF7-DC5F-4613-9028-B01E39F01976}">
      <text>
        <r>
          <rPr>
            <sz val="9"/>
            <color indexed="81"/>
            <rFont val="Segoe UI"/>
            <family val="2"/>
          </rPr>
          <t>Terminado a segunda vez em setembro de 2021 e a terceira vez em novembro de 2022.</t>
        </r>
      </text>
    </comment>
    <comment ref="K167" authorId="0" shapeId="0" xr:uid="{2AB606FA-62FA-427D-980D-446AB615140A}">
      <text>
        <r>
          <rPr>
            <sz val="9"/>
            <color indexed="81"/>
            <rFont val="Segoe UI"/>
            <family val="2"/>
          </rPr>
          <t>Conquistas. 🏆</t>
        </r>
      </text>
    </comment>
    <comment ref="K168" authorId="0" shapeId="0" xr:uid="{5E77E9D8-673F-4F3A-B228-05F4A23535E3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69" authorId="0" shapeId="0" xr:uid="{6E521C87-6637-42FC-B105-84F64FC701C2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70" authorId="0" shapeId="0" xr:uid="{DBDA0774-E320-46D1-A0DE-D9A5F7AF82C1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71" authorId="0" shapeId="0" xr:uid="{D1EAF71A-4FCF-4E33-BF93-37A6E93C0DC1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72" authorId="0" shapeId="0" xr:uid="{175EFA15-D6CE-48F9-AFC9-AD3A525D2A6D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74" authorId="0" shapeId="0" xr:uid="{D4D8B953-2728-4A93-A618-BF4FE369D9E7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176" authorId="0" shapeId="0" xr:uid="{ADDB80DF-6684-4758-B13F-F884C5A33494}">
      <text>
        <r>
          <rPr>
            <sz val="9"/>
            <color indexed="81"/>
            <rFont val="Segoe UI"/>
            <family val="2"/>
          </rPr>
          <t>Terminado a primeira vez em julho de 2019.</t>
        </r>
      </text>
    </comment>
    <comment ref="K177" authorId="0" shapeId="0" xr:uid="{34FECB52-3097-46C8-95FC-7D5DC0429233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78" authorId="0" shapeId="0" xr:uid="{ACF24912-8AE9-4E04-95D5-135F8E3C6C2C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179" authorId="0" shapeId="0" xr:uid="{3EDF5762-F0C4-4B30-8CAF-6CDF41A92064}">
      <text>
        <r>
          <rPr>
            <sz val="9"/>
            <color indexed="81"/>
            <rFont val="Segoe UI"/>
            <family val="2"/>
          </rPr>
          <t>Terminado a primeira vez em setembro de 2014 no PS3.</t>
        </r>
      </text>
    </comment>
    <comment ref="K179" authorId="0" shapeId="0" xr:uid="{89083BBA-B151-4ADF-9185-B961E996DAB2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80" authorId="0" shapeId="0" xr:uid="{D9CA9598-D03C-416B-9000-1DE5E42AAEB8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181" authorId="0" shapeId="0" xr:uid="{EAFA22BE-2375-4586-A6A8-B4ACA007E72F}">
      <text>
        <r>
          <rPr>
            <sz val="9"/>
            <color indexed="81"/>
            <rFont val="Segoe UI"/>
            <family val="2"/>
          </rPr>
          <t>Terminado a segunda vez em junho de 2022.</t>
        </r>
      </text>
    </comment>
    <comment ref="K181" authorId="0" shapeId="0" xr:uid="{BEF0B4A8-A5D1-4832-BE29-2E2A334AB2DC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182" authorId="0" shapeId="0" xr:uid="{FC55BA1F-1DAA-4C6A-9ED2-835FE1EAE110}">
      <text>
        <r>
          <rPr>
            <sz val="9"/>
            <color indexed="81"/>
            <rFont val="Segoe UI"/>
            <family val="2"/>
          </rPr>
          <t>Terminado a primeira vez em março de 2016.</t>
        </r>
      </text>
    </comment>
    <comment ref="K182" authorId="0" shapeId="0" xr:uid="{B1F24F5D-A5F7-4A4B-89E9-C0F5F5084075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83" authorId="0" shapeId="0" xr:uid="{A60A5E41-F778-4F1E-B912-9DC413285EBE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184" authorId="0" shapeId="0" xr:uid="{E334877D-AF5A-4418-BBA7-3D9367755497}">
      <text>
        <r>
          <rPr>
            <sz val="9"/>
            <color indexed="81"/>
            <rFont val="Segoe UI"/>
            <family val="2"/>
          </rPr>
          <t>Terminado também em abril de 2021, outubro de 2021 e julho de 2022.</t>
        </r>
      </text>
    </comment>
    <comment ref="K185" authorId="0" shapeId="0" xr:uid="{F0F47A3C-D544-44E7-8B5A-5F6CFB36A10C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86" authorId="0" shapeId="0" xr:uid="{1F8785B0-B409-465D-B76B-42D46E90AFAA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87" authorId="0" shapeId="0" xr:uid="{9AA257C4-F794-45B8-858D-51C21C34873D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188" authorId="0" shapeId="0" xr:uid="{92FD0263-C9CA-47BC-85CA-77D786B06A05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190" authorId="0" shapeId="0" xr:uid="{252B84B7-1395-485B-B9A0-5B39980B4664}">
      <text>
        <r>
          <rPr>
            <sz val="9"/>
            <color indexed="81"/>
            <rFont val="Segoe UI"/>
            <family val="2"/>
          </rPr>
          <t>Terminado a primeira vez em abril de 2014 no Xbox 360.</t>
        </r>
      </text>
    </comment>
    <comment ref="B191" authorId="0" shapeId="0" xr:uid="{25E04A86-AD68-49E6-B104-2472635A7C23}">
      <text>
        <r>
          <rPr>
            <sz val="9"/>
            <color indexed="81"/>
            <rFont val="Segoe UI"/>
            <family val="2"/>
          </rPr>
          <t>Terminado a primeira vez em janeiro de 2016 e a terceira vez em setembro de 2022 no RetroArch do PC.</t>
        </r>
      </text>
    </comment>
    <comment ref="B196" authorId="0" shapeId="0" xr:uid="{877EF238-FD38-47F7-B974-56D28A89EE72}">
      <text>
        <r>
          <rPr>
            <sz val="9"/>
            <color indexed="81"/>
            <rFont val="Segoe UI"/>
            <family val="2"/>
          </rPr>
          <t>Terminado a segunda vez em julho de 2020.</t>
        </r>
      </text>
    </comment>
    <comment ref="B198" authorId="0" shapeId="0" xr:uid="{90DC9AD1-AD7D-46E7-B4B0-39C51485CFAD}">
      <text>
        <r>
          <rPr>
            <sz val="9"/>
            <color indexed="81"/>
            <rFont val="Segoe UI"/>
            <family val="2"/>
          </rPr>
          <t>Terminado a primeira vez em outubro de 2016.</t>
        </r>
      </text>
    </comment>
    <comment ref="B199" authorId="0" shapeId="0" xr:uid="{A436309E-75FA-4ECE-B0FE-6920699D3D7D}">
      <text>
        <r>
          <rPr>
            <sz val="9"/>
            <color indexed="81"/>
            <rFont val="Segoe UI"/>
            <family val="2"/>
          </rPr>
          <t>Terminado a primeira vez em maio de 2018.</t>
        </r>
      </text>
    </comment>
    <comment ref="B201" authorId="0" shapeId="0" xr:uid="{1F4F11EE-6B12-465C-B1CB-6E5DAE5CC08F}">
      <text>
        <r>
          <rPr>
            <sz val="9"/>
            <color indexed="81"/>
            <rFont val="Segoe UI"/>
            <family val="2"/>
          </rPr>
          <t>Terminado a primeira vez em junho de 2018.</t>
        </r>
      </text>
    </comment>
    <comment ref="B206" authorId="0" shapeId="0" xr:uid="{1A4F6A61-3518-4407-B7DA-ADD463392E10}">
      <text>
        <r>
          <rPr>
            <sz val="9"/>
            <color indexed="81"/>
            <rFont val="Segoe UI"/>
            <family val="2"/>
          </rPr>
          <t>É o Final Fantasy II ocidental.</t>
        </r>
      </text>
    </comment>
    <comment ref="B209" authorId="0" shapeId="0" xr:uid="{A2FB9B94-0BAF-43C3-B6A3-2451BAFFC16B}">
      <text>
        <r>
          <rPr>
            <sz val="9"/>
            <color indexed="81"/>
            <rFont val="Segoe UI"/>
            <family val="2"/>
          </rPr>
          <t>Terminado a Pokedex no Ultra Moon.</t>
        </r>
      </text>
    </comment>
    <comment ref="B210" authorId="0" shapeId="0" xr:uid="{63292DE3-641E-44F2-8175-B80D1BAF1049}">
      <text>
        <r>
          <rPr>
            <sz val="9"/>
            <color indexed="81"/>
            <rFont val="Segoe UI"/>
            <family val="2"/>
          </rPr>
          <t>Terminado a primeira vez em novembro de 2017.</t>
        </r>
      </text>
    </comment>
    <comment ref="B211" authorId="0" shapeId="0" xr:uid="{F1ED8BC7-13F2-4E4D-BF4E-228C4954071E}">
      <text>
        <r>
          <rPr>
            <sz val="9"/>
            <color indexed="81"/>
            <rFont val="Segoe UI"/>
            <family val="2"/>
          </rPr>
          <t>Terminado a primeira vez em novembro de 2017.</t>
        </r>
      </text>
    </comment>
    <comment ref="B212" authorId="0" shapeId="0" xr:uid="{41D02123-7A31-483F-9C89-DE3DE4E4FEAC}">
      <text>
        <r>
          <rPr>
            <sz val="9"/>
            <color indexed="81"/>
            <rFont val="Segoe UI"/>
            <family val="2"/>
          </rPr>
          <t>Terminado a Pokedex no Crystal.</t>
        </r>
      </text>
    </comment>
    <comment ref="B213" authorId="0" shapeId="0" xr:uid="{B8BB06E5-C0D5-45D4-8B90-56FEA6B1159A}">
      <text>
        <r>
          <rPr>
            <sz val="9"/>
            <color indexed="81"/>
            <rFont val="Segoe UI"/>
            <family val="2"/>
          </rPr>
          <t>Terminado a Pokedex no Crystal.</t>
        </r>
      </text>
    </comment>
    <comment ref="B215" authorId="0" shapeId="0" xr:uid="{052A50A6-DE50-4AAA-87D8-02396D583CA3}">
      <text>
        <r>
          <rPr>
            <sz val="9"/>
            <color indexed="81"/>
            <rFont val="Segoe UI"/>
            <family val="2"/>
          </rPr>
          <t>Terminado a Pokedex no Yellow.</t>
        </r>
      </text>
    </comment>
    <comment ref="B216" authorId="0" shapeId="0" xr:uid="{FE68D325-B9B9-40ED-AF1D-F8030FC94C1F}">
      <text>
        <r>
          <rPr>
            <sz val="9"/>
            <color indexed="81"/>
            <rFont val="Segoe UI"/>
            <family val="2"/>
          </rPr>
          <t>Terminado a Pokedex no Yellow.</t>
        </r>
      </text>
    </comment>
    <comment ref="B218" authorId="0" shapeId="0" xr:uid="{BEDA1384-972B-450F-AAFE-351EC300CA56}">
      <text>
        <r>
          <rPr>
            <sz val="9"/>
            <color indexed="81"/>
            <rFont val="Segoe UI"/>
            <family val="2"/>
          </rPr>
          <t>Terminado a primeira vez em agosto de 2017 e a segunda vez em maio de 2018.</t>
        </r>
      </text>
    </comment>
    <comment ref="B221" authorId="0" shapeId="0" xr:uid="{324B6CF9-73CF-45E6-9F28-ED5E2692A1C2}">
      <text>
        <r>
          <rPr>
            <sz val="9"/>
            <color indexed="81"/>
            <rFont val="Segoe UI"/>
            <family val="2"/>
          </rPr>
          <t>Terminado a segunda vez em outubro de 2020 e a terceira vez agosto de 2022.</t>
        </r>
      </text>
    </comment>
    <comment ref="B222" authorId="0" shapeId="0" xr:uid="{BD38093F-EF8C-4702-A638-902BC435F51D}">
      <text>
        <r>
          <rPr>
            <sz val="9"/>
            <color indexed="81"/>
            <rFont val="Segoe UI"/>
            <family val="2"/>
          </rPr>
          <t>Terminar a primeira vez em dezembro de 2014 no PS4.</t>
        </r>
      </text>
    </comment>
    <comment ref="B225" authorId="0" shapeId="0" xr:uid="{43EE9FDE-ACFF-475A-B958-BCBD3CB59703}">
      <text>
        <r>
          <rPr>
            <sz val="9"/>
            <color indexed="81"/>
            <rFont val="Segoe UI"/>
            <family val="2"/>
          </rPr>
          <t>Terminado a Pokedex no Omega Ruby.</t>
        </r>
      </text>
    </comment>
    <comment ref="B226" authorId="0" shapeId="0" xr:uid="{DB58576B-D904-4739-9790-4C3D292AC7F7}">
      <text>
        <r>
          <rPr>
            <sz val="9"/>
            <color indexed="81"/>
            <rFont val="Segoe UI"/>
            <family val="2"/>
          </rPr>
          <t>Terminado a primeira vez em agosto de 2016.</t>
        </r>
      </text>
    </comment>
    <comment ref="B227" authorId="0" shapeId="0" xr:uid="{F8093D66-3A02-4AED-B12A-D5F77DFA8672}">
      <text>
        <r>
          <rPr>
            <sz val="9"/>
            <color indexed="81"/>
            <rFont val="Segoe UI"/>
            <family val="2"/>
          </rPr>
          <t>DLC do Xenoblade Chronicles 2. Praticamente um novo jogo.</t>
        </r>
      </text>
    </comment>
    <comment ref="B228" authorId="0" shapeId="0" xr:uid="{F4CC8CD0-5628-46A4-A93B-812CBDCE55CE}">
      <text>
        <r>
          <rPr>
            <sz val="9"/>
            <color indexed="81"/>
            <rFont val="Segoe UI"/>
            <family val="2"/>
          </rPr>
          <t>Terminado a primeira vez em julho de 2016. Terminado a Pokedex no Y.</t>
        </r>
      </text>
    </comment>
    <comment ref="B230" authorId="0" shapeId="0" xr:uid="{7B8FA99E-372D-4235-BC0B-F8765671ADB3}">
      <text>
        <r>
          <rPr>
            <sz val="9"/>
            <color indexed="81"/>
            <rFont val="Segoe UI"/>
            <family val="2"/>
          </rPr>
          <t>Terminado a Pokedex no White 2.</t>
        </r>
      </text>
    </comment>
    <comment ref="B232" authorId="0" shapeId="0" xr:uid="{EB897B5D-5D57-42DD-B5A5-881153C4B98C}">
      <text>
        <r>
          <rPr>
            <sz val="9"/>
            <color indexed="81"/>
            <rFont val="Segoe UI"/>
            <family val="2"/>
          </rPr>
          <t>Terminado a Pokedex no White.</t>
        </r>
      </text>
    </comment>
    <comment ref="B234" authorId="0" shapeId="0" xr:uid="{9CEA6604-941E-434E-9E9A-1514725E3F31}">
      <text>
        <r>
          <rPr>
            <sz val="9"/>
            <color indexed="81"/>
            <rFont val="Segoe UI"/>
            <family val="2"/>
          </rPr>
          <t>Terminado a primeira vez em abril de 2017.</t>
        </r>
      </text>
    </comment>
    <comment ref="B235" authorId="0" shapeId="0" xr:uid="{5D860D6B-F4BA-495E-8C55-381F8F29FC5E}">
      <text>
        <r>
          <rPr>
            <sz val="9"/>
            <color indexed="81"/>
            <rFont val="Segoe UI"/>
            <family val="2"/>
          </rPr>
          <t>Terminado a segunda vez em maio de 2023.</t>
        </r>
      </text>
    </comment>
    <comment ref="B238" authorId="0" shapeId="0" xr:uid="{CF719937-8611-4674-A2C6-0DBC8723820E}">
      <text>
        <r>
          <rPr>
            <sz val="9"/>
            <color indexed="81"/>
            <rFont val="Segoe UI"/>
            <family val="2"/>
          </rPr>
          <t>Terminado a Pokedex no Platinum.</t>
        </r>
      </text>
    </comment>
    <comment ref="B239" authorId="0" shapeId="0" xr:uid="{EB2D80EC-3088-4E7B-8268-A663E3EDFE6A}">
      <text>
        <r>
          <rPr>
            <sz val="9"/>
            <color indexed="81"/>
            <rFont val="Segoe UI"/>
            <family val="2"/>
          </rPr>
          <t>Terminado a Pokedex no Platinum.</t>
        </r>
      </text>
    </comment>
    <comment ref="B242" authorId="0" shapeId="0" xr:uid="{1FF6376A-184B-44AA-94CA-87BD7E767951}">
      <text>
        <r>
          <rPr>
            <sz val="9"/>
            <color indexed="81"/>
            <rFont val="Segoe UI"/>
            <family val="2"/>
          </rPr>
          <t>Terminado a primeira vez em setembro de 2017.</t>
        </r>
      </text>
    </comment>
    <comment ref="B243" authorId="0" shapeId="0" xr:uid="{BF8DD9C5-E100-430C-A380-72F5CBD3DEB5}">
      <text>
        <r>
          <rPr>
            <sz val="9"/>
            <color indexed="81"/>
            <rFont val="Segoe UI"/>
            <family val="2"/>
          </rPr>
          <t>Terminado a segunda vez em fevereiro de 2019.</t>
        </r>
      </text>
    </comment>
    <comment ref="B244" authorId="0" shapeId="0" xr:uid="{EE2FB831-29BC-4387-A984-60EB621E9CC3}">
      <text>
        <r>
          <rPr>
            <sz val="9"/>
            <color indexed="81"/>
            <rFont val="Segoe UI"/>
            <family val="2"/>
          </rPr>
          <t>Terminado a Pokedex no HeartGold.</t>
        </r>
      </text>
    </comment>
    <comment ref="B246" authorId="0" shapeId="0" xr:uid="{49216DEF-6A9E-4824-B3F9-D0375DD8012A}">
      <text>
        <r>
          <rPr>
            <sz val="9"/>
            <color indexed="81"/>
            <rFont val="Segoe UI"/>
            <family val="2"/>
          </rPr>
          <t>Terminado a segunda vez em janeiro de 2019.</t>
        </r>
      </text>
    </comment>
    <comment ref="B247" authorId="0" shapeId="0" xr:uid="{5C9DFA17-6D03-4DF7-9687-12A43186A9C9}">
      <text>
        <r>
          <rPr>
            <sz val="9"/>
            <color indexed="81"/>
            <rFont val="Segoe UI"/>
            <family val="2"/>
          </rPr>
          <t>Terminado a primeira vez em agosto de 2017 e a terceira vez em dezembro de 2018.</t>
        </r>
      </text>
    </comment>
    <comment ref="B248" authorId="0" shapeId="0" xr:uid="{C5466580-4B7D-48C4-8703-B42CC4B4FB1A}">
      <text>
        <r>
          <rPr>
            <sz val="9"/>
            <color indexed="81"/>
            <rFont val="Segoe UI"/>
            <family val="2"/>
          </rPr>
          <t>Jogo dentro do game Final Fantasy I &amp; II - Dawn of Souls.</t>
        </r>
      </text>
    </comment>
    <comment ref="B249" authorId="0" shapeId="0" xr:uid="{D3FBE606-61DB-4C39-A9A5-33337C0E8A4A}">
      <text>
        <r>
          <rPr>
            <sz val="9"/>
            <color indexed="81"/>
            <rFont val="Segoe UI"/>
            <family val="2"/>
          </rPr>
          <t>Terminado a primeira vez em junho de 2017.</t>
        </r>
      </text>
    </comment>
    <comment ref="B250" authorId="0" shapeId="0" xr:uid="{19B476A0-C87D-480E-B923-A88FB93271D0}">
      <text>
        <r>
          <rPr>
            <sz val="9"/>
            <color indexed="81"/>
            <rFont val="Segoe UI"/>
            <family val="2"/>
          </rPr>
          <t>Terminado a Pokedex no FireRed.</t>
        </r>
      </text>
    </comment>
    <comment ref="B253" authorId="0" shapeId="0" xr:uid="{77E70253-133E-4C4C-BAF1-ED29B25407E5}">
      <text>
        <r>
          <rPr>
            <sz val="9"/>
            <color indexed="81"/>
            <rFont val="Segoe UI"/>
            <family val="2"/>
          </rPr>
          <t>Jogo dentro do game Final Fantasy I &amp; II - Dawn of Souls.</t>
        </r>
      </text>
    </comment>
    <comment ref="B255" authorId="0" shapeId="0" xr:uid="{D8F48D2A-7332-4A8A-8EF9-814FB70EB348}">
      <text>
        <r>
          <rPr>
            <sz val="9"/>
            <color indexed="81"/>
            <rFont val="Segoe UI"/>
            <family val="2"/>
          </rPr>
          <t>Terminado a segunda vez em outubro de 2025 no Switch 2.</t>
        </r>
      </text>
    </comment>
    <comment ref="B265" authorId="0" shapeId="0" xr:uid="{28429C35-370B-4A5A-8392-091AA0C47F75}">
      <text>
        <r>
          <rPr>
            <sz val="9"/>
            <color indexed="81"/>
            <rFont val="Segoe UI"/>
            <family val="2"/>
          </rPr>
          <t>Terminado a segunda vez em janeiro de 2019 em 100%.</t>
        </r>
      </text>
    </comment>
    <comment ref="B266" authorId="0" shapeId="0" xr:uid="{2278B917-B539-4D81-B9F7-E6FDD55BD999}">
      <text>
        <r>
          <rPr>
            <sz val="9"/>
            <color indexed="81"/>
            <rFont val="Segoe UI"/>
            <family val="2"/>
          </rPr>
          <t>Terminado a primeira vez em março de 2014 no Xbox 360.</t>
        </r>
      </text>
    </comment>
    <comment ref="B267" authorId="0" shapeId="0" xr:uid="{27F63B6D-8035-4C0B-A9E8-7616192DA18E}">
      <text>
        <r>
          <rPr>
            <sz val="9"/>
            <color indexed="81"/>
            <rFont val="Segoe UI"/>
            <family val="2"/>
          </rPr>
          <t>Terminado a segunda vez em setembro de 2021 e a terceira vez em maio de 2023.</t>
        </r>
      </text>
    </comment>
    <comment ref="B269" authorId="0" shapeId="0" xr:uid="{46BD2938-E61A-444B-9E81-23B2CD289A68}">
      <text>
        <r>
          <rPr>
            <sz val="9"/>
            <color indexed="81"/>
            <rFont val="Segoe UI"/>
            <family val="2"/>
          </rPr>
          <t>Terminado a segunda vez em janeiro de 2019.</t>
        </r>
      </text>
    </comment>
    <comment ref="B272" authorId="0" shapeId="0" xr:uid="{6B5D9601-B620-43A9-B3C2-41C10C1146CB}">
      <text>
        <r>
          <rPr>
            <sz val="9"/>
            <color indexed="81"/>
            <rFont val="Segoe UI"/>
            <family val="2"/>
          </rPr>
          <t>Terminado a segunda vez em novembro de 2021 no RetroArch do Switch.</t>
        </r>
      </text>
    </comment>
    <comment ref="B277" authorId="0" shapeId="0" xr:uid="{41D6BFD2-1591-4D48-A0B6-D8D9AB406230}">
      <text>
        <r>
          <rPr>
            <sz val="9"/>
            <color indexed="81"/>
            <rFont val="Segoe UI"/>
            <family val="2"/>
          </rPr>
          <t>Terminado a primeira vez no seu lançamento no Wii U em março de 2017.</t>
        </r>
      </text>
    </comment>
    <comment ref="B278" authorId="0" shapeId="0" xr:uid="{11D1CE6F-B28A-4732-8685-2F635D7F2EFD}">
      <text>
        <r>
          <rPr>
            <sz val="9"/>
            <color indexed="81"/>
            <rFont val="Segoe UI"/>
            <family val="2"/>
          </rPr>
          <t>Terminado a Pokedex no Emerald.</t>
        </r>
      </text>
    </comment>
    <comment ref="B279" authorId="0" shapeId="0" xr:uid="{BA4640EA-C2A4-4D4C-9910-CB1DEB772D12}">
      <text>
        <r>
          <rPr>
            <sz val="9"/>
            <color indexed="81"/>
            <rFont val="Segoe UI"/>
            <family val="2"/>
          </rPr>
          <t>Terminado a segunda vez em junho de 2018 com 100%.</t>
        </r>
      </text>
    </comment>
    <comment ref="B281" authorId="0" shapeId="0" xr:uid="{87B3B308-6E39-44E4-A31D-4C9A23FFA93D}">
      <text>
        <r>
          <rPr>
            <sz val="9"/>
            <color indexed="81"/>
            <rFont val="Segoe UI"/>
            <family val="2"/>
          </rPr>
          <t>Terminado a Pokedex no Emerald.</t>
        </r>
      </text>
    </comment>
    <comment ref="B283" authorId="0" shapeId="0" xr:uid="{725CB131-7323-49EC-A8D4-A4E0F801C824}">
      <text>
        <r>
          <rPr>
            <sz val="9"/>
            <color indexed="81"/>
            <rFont val="Segoe UI"/>
            <family val="2"/>
          </rPr>
          <t>Terminado a segunda vez em abril de 2021 no RetroArch do Switch.</t>
        </r>
      </text>
    </comment>
    <comment ref="B286" authorId="0" shapeId="0" xr:uid="{4B851E40-03CA-4D89-8C13-849693BD1641}">
      <text>
        <r>
          <rPr>
            <sz val="9"/>
            <color indexed="81"/>
            <rFont val="Segoe UI"/>
            <family val="2"/>
          </rPr>
          <t>Terminado a segunda vez em março de 2026 no Switch 2.</t>
        </r>
      </text>
    </comment>
    <comment ref="B287" authorId="0" shapeId="0" xr:uid="{658A065B-BE64-4FE4-958F-4EE0A401BD0D}">
      <text>
        <r>
          <rPr>
            <sz val="9"/>
            <color indexed="81"/>
            <rFont val="Segoe UI"/>
            <family val="2"/>
          </rPr>
          <t>Terminado novamente em maio de 2018 com o Jaime em 100% e em dezembro de 2018.</t>
        </r>
      </text>
    </comment>
    <comment ref="B289" authorId="0" shapeId="0" xr:uid="{165B7C42-9483-4E30-BAB5-9EF90A6EAD30}">
      <text>
        <r>
          <rPr>
            <sz val="9"/>
            <color indexed="81"/>
            <rFont val="Segoe UI"/>
            <family val="2"/>
          </rPr>
          <t>Finalizado com 93%.</t>
        </r>
      </text>
    </comment>
    <comment ref="B293" authorId="0" shapeId="0" xr:uid="{68B224E9-DC7A-4B54-9436-16FF118B01D1}">
      <text>
        <r>
          <rPr>
            <sz val="9"/>
            <color indexed="81"/>
            <rFont val="Segoe UI"/>
            <family val="2"/>
          </rPr>
          <t>Terminado a segunda vez em abril de 2018 com 100%.</t>
        </r>
      </text>
    </comment>
    <comment ref="B296" authorId="0" shapeId="0" xr:uid="{10EF96A9-A13C-4556-AF2F-982DB7D8A5FB}">
      <text>
        <r>
          <rPr>
            <sz val="9"/>
            <color indexed="81"/>
            <rFont val="Segoe UI"/>
            <family val="2"/>
          </rPr>
          <t>Faltaram algumas golden skulltulas. Terminado a segunda vez em agosto de 2018 com 100%.</t>
        </r>
      </text>
    </comment>
    <comment ref="B298" authorId="0" shapeId="0" xr:uid="{752C617D-1352-4DBC-8C9A-785CE583AA9F}">
      <text>
        <r>
          <rPr>
            <sz val="9"/>
            <color indexed="81"/>
            <rFont val="Segoe UI"/>
            <family val="2"/>
          </rPr>
          <t>Finalizado a segunda vez em março de 2024 no emulador de Playstation 2 no PC.</t>
        </r>
      </text>
    </comment>
    <comment ref="B299" authorId="0" shapeId="0" xr:uid="{2E41FC03-267B-4511-99BE-9CD24EC000E3}">
      <text>
        <r>
          <rPr>
            <sz val="9"/>
            <color indexed="81"/>
            <rFont val="Segoe UI"/>
            <family val="2"/>
          </rPr>
          <t>Terminado a segunda vez no Switch em outubro de 2017 com 100%.</t>
        </r>
      </text>
    </comment>
    <comment ref="B300" authorId="0" shapeId="0" xr:uid="{AAC93FF4-C3B0-4C6B-A830-0DC22A9B6AA8}">
      <text>
        <r>
          <rPr>
            <sz val="9"/>
            <color indexed="81"/>
            <rFont val="Segoe UI"/>
            <family val="2"/>
          </rPr>
          <t>Terminado a segunda vez em agosto de 2023.</t>
        </r>
      </text>
    </comment>
    <comment ref="B309" authorId="0" shapeId="0" xr:uid="{DCAF2A6B-BE58-4EBB-8809-A696DE9168FE}">
      <text>
        <r>
          <rPr>
            <sz val="9"/>
            <color indexed="81"/>
            <rFont val="Segoe UI"/>
            <family val="2"/>
          </rPr>
          <t>Terminado a segunda vez em setembro de 2023 com 100%.</t>
        </r>
      </text>
    </comment>
    <comment ref="B315" authorId="0" shapeId="0" xr:uid="{5FC51AD3-24FE-4947-800B-2DF05D758AA5}">
      <text>
        <r>
          <rPr>
            <sz val="9"/>
            <color indexed="81"/>
            <rFont val="Segoe UI"/>
            <family val="2"/>
          </rPr>
          <t>Terminado a segunda vez em setembro de 2019.</t>
        </r>
      </text>
    </comment>
    <comment ref="B321" authorId="0" shapeId="0" xr:uid="{3C1B2699-B8E7-44B9-A2FB-C1504C43764F}">
      <text>
        <r>
          <rPr>
            <sz val="9"/>
            <color indexed="81"/>
            <rFont val="Segoe UI"/>
            <family val="2"/>
          </rPr>
          <t xml:space="preserve">Terminado a segunda vez em outubro de 2018 com 100%. </t>
        </r>
      </text>
    </comment>
    <comment ref="B322" authorId="0" shapeId="0" xr:uid="{3AC15A58-47C1-448B-8D2D-E4FAEE729173}">
      <text>
        <r>
          <rPr>
            <sz val="9"/>
            <color indexed="81"/>
            <rFont val="Segoe UI"/>
            <family val="2"/>
          </rPr>
          <t>Terminado a segunda vez em setembro de 2018 com 100%. Finalizado com a Pokedex do Y.</t>
        </r>
      </text>
    </comment>
    <comment ref="B323" authorId="0" shapeId="0" xr:uid="{CBD40FE5-563B-4A99-B4DE-30B6B8F7906D}">
      <text>
        <r>
          <rPr>
            <sz val="9"/>
            <color indexed="81"/>
            <rFont val="Segoe UI"/>
            <family val="2"/>
          </rPr>
          <t>Terminado a segunda vez em novembro de 2022.</t>
        </r>
      </text>
    </comment>
    <comment ref="B324" authorId="0" shapeId="0" xr:uid="{6F21E500-FCF6-4F8A-99F1-54023BF07187}">
      <text>
        <r>
          <rPr>
            <sz val="9"/>
            <color indexed="81"/>
            <rFont val="Segoe UI"/>
            <family val="2"/>
          </rPr>
          <t>Terminado a segunda vez em junho de 2020.</t>
        </r>
      </text>
    </comment>
    <comment ref="B325" authorId="0" shapeId="0" xr:uid="{FE72656A-5B3F-4D01-9094-F892DC004DBA}">
      <text>
        <r>
          <rPr>
            <sz val="9"/>
            <color indexed="81"/>
            <rFont val="Segoe UI"/>
            <family val="2"/>
          </rPr>
          <t>Terminado a segunda vez em agosto de 2021 em 100%.</t>
        </r>
      </text>
    </comment>
    <comment ref="B327" authorId="0" shapeId="0" xr:uid="{3747230F-38B0-4D67-A6FB-6B6770CF8010}">
      <text>
        <r>
          <rPr>
            <sz val="9"/>
            <color indexed="81"/>
            <rFont val="Segoe UI"/>
            <family val="2"/>
          </rPr>
          <t>Terminado a primeira em setembro de 2014 no PS3, a segunda em dezembro de 2014 no PS4, a quarta em junho de 2022 no PC.</t>
        </r>
      </text>
    </comment>
    <comment ref="B328" authorId="0" shapeId="0" xr:uid="{D3CC2880-B03C-435D-ADD5-22ECC7A0A9F7}">
      <text>
        <r>
          <rPr>
            <sz val="9"/>
            <color indexed="81"/>
            <rFont val="Segoe UI"/>
            <family val="2"/>
          </rPr>
          <t>Terminado a primeira vez em abril de 2014 no Xbox 360 e a segunda vez em agosto de 2014 no PS3.</t>
        </r>
      </text>
    </comment>
    <comment ref="K328" authorId="0" shapeId="0" xr:uid="{6B75C700-5766-4E1E-BC74-2FB9D3775D9D}">
      <text>
        <r>
          <rPr>
            <sz val="9"/>
            <color indexed="81"/>
            <rFont val="Segoe UI"/>
            <family val="2"/>
          </rPr>
          <t>Steam. 🏆</t>
        </r>
      </text>
    </comment>
    <comment ref="B329" authorId="0" shapeId="0" xr:uid="{6340669A-E37B-4B35-BDC0-BF43B318E86C}">
      <text>
        <r>
          <rPr>
            <sz val="9"/>
            <color indexed="81"/>
            <rFont val="Segoe UI"/>
            <family val="2"/>
          </rPr>
          <t>Respondi algo errado e não peguei a Nanami no final. Peguei os 107 personagens.</t>
        </r>
      </text>
    </comment>
    <comment ref="B331" authorId="0" shapeId="0" xr:uid="{8B9BC636-D275-4555-BE3E-DBE4D3E18197}">
      <text>
        <r>
          <rPr>
            <sz val="9"/>
            <color indexed="81"/>
            <rFont val="Segoe UI"/>
            <family val="2"/>
          </rPr>
          <t>Terminado a segunda vez em março de 2020 e a terceira vez em setembro de 2022 no RetroArch do PC.</t>
        </r>
      </text>
    </comment>
    <comment ref="K334" authorId="0" shapeId="0" xr:uid="{DDD4AB91-0326-4CCB-B0CA-E76E5E04CBA2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35" authorId="0" shapeId="0" xr:uid="{E46185DB-DF10-46F0-AD75-0A432AC929C7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36" authorId="0" shapeId="0" xr:uid="{44170DB9-4FB7-4077-8F86-759217321BD9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37" authorId="0" shapeId="0" xr:uid="{AD5C0130-2017-4852-98DF-104DD282236B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39" authorId="0" shapeId="0" xr:uid="{982E5468-694E-45B4-B854-D1B571F42C52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0" authorId="0" shapeId="0" xr:uid="{AFC1E16E-5601-4E22-A9C8-A8E596847B67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1" authorId="0" shapeId="0" xr:uid="{EAF52098-6F6F-4727-8FD5-BA1B1C984B70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2" authorId="0" shapeId="0" xr:uid="{60A1363E-B4C8-4854-9201-6C2B03CA53D2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3" authorId="0" shapeId="0" xr:uid="{80280361-A653-449A-9C95-E4560A8423C5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4" authorId="0" shapeId="0" xr:uid="{ED205300-F52C-4468-A0B5-D33B58D6E2D3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5" authorId="0" shapeId="0" xr:uid="{A1FDDBF4-67A7-4266-BCB6-C366EF2AB132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6" authorId="0" shapeId="0" xr:uid="{CA5B94CE-FD64-4347-AF76-20BFCC693FB7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7" authorId="0" shapeId="0" xr:uid="{8F3F201D-412D-4CFA-94B3-4160AB7EA155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8" authorId="0" shapeId="0" xr:uid="{CBFE1782-6783-4320-8E2C-53669D148210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49" authorId="0" shapeId="0" xr:uid="{67067DF6-ABD0-4DF1-AFD3-7E2F373C212E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0" authorId="0" shapeId="0" xr:uid="{08ADE887-B7E1-4590-B4A9-85A08D808E09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1" authorId="0" shapeId="0" xr:uid="{9660FA2C-DD60-4CAC-88EC-6EC51D7298D6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52" authorId="0" shapeId="0" xr:uid="{95B635ED-A89E-44F6-873A-148C19A05C10}">
      <text>
        <r>
          <rPr>
            <sz val="9"/>
            <color indexed="81"/>
            <rFont val="Segoe UI"/>
            <family val="2"/>
          </rPr>
          <t>Terminado a primeira vez em março de 2015 no PS Vita.</t>
        </r>
      </text>
    </comment>
    <comment ref="K352" authorId="0" shapeId="0" xr:uid="{A47F4C35-648E-4A28-93DE-FD8088D6577C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3" authorId="0" shapeId="0" xr:uid="{6BC7C9A0-A45B-416B-8270-D5F214CC05A6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4" authorId="0" shapeId="0" xr:uid="{A96F1F99-5218-45CC-B173-C2F74FA9AF8E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5" authorId="0" shapeId="0" xr:uid="{CC52FEA9-DA59-4314-B424-D27F7E07FF3A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6" authorId="0" shapeId="0" xr:uid="{9DB82E3C-3871-4358-9F6B-EBB1D19811D0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57" authorId="0" shapeId="0" xr:uid="{B850BC2E-4A6A-41BA-8492-9B5D5990A810}">
      <text>
        <r>
          <rPr>
            <sz val="9"/>
            <color indexed="81"/>
            <rFont val="Segoe UI"/>
            <family val="2"/>
          </rPr>
          <t>Terminado a primeira vez em fevereiro de 2015 no PS Vita.</t>
        </r>
      </text>
    </comment>
    <comment ref="K357" authorId="0" shapeId="0" xr:uid="{1777EFE6-AC94-44DE-B943-B2AB77F6E354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8" authorId="0" shapeId="0" xr:uid="{77DFDDF7-3835-4FF9-ABFC-E8FBFFCFAF58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59" authorId="0" shapeId="0" xr:uid="{0F4EB6A1-2BD9-48C3-BA7A-653DD9640E90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60" authorId="0" shapeId="0" xr:uid="{3D4A8CE4-527D-46F1-8176-458AE9C702E0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61" authorId="0" shapeId="0" xr:uid="{E6E248FC-355B-49C7-94F1-39EF4A81C82E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62" authorId="0" shapeId="0" xr:uid="{C66DEB71-6280-4935-864C-130AA51BD872}">
      <text>
        <r>
          <rPr>
            <sz val="9"/>
            <color indexed="81"/>
            <rFont val="Segoe UI"/>
            <family val="2"/>
          </rPr>
          <t>Terminado a segunda vez em abril de 2015 no PS3.</t>
        </r>
      </text>
    </comment>
    <comment ref="K362" authorId="0" shapeId="0" xr:uid="{5912E925-9B3E-4361-B914-D6E60EA94ABF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63" authorId="0" shapeId="0" xr:uid="{839D7A70-4ECF-4897-AC4C-FB7016DD2DE9}">
      <text>
        <r>
          <rPr>
            <sz val="9"/>
            <color indexed="81"/>
            <rFont val="Segoe UI"/>
            <family val="2"/>
          </rPr>
          <t>Terminado a segunda vez em março de 2024 no PC.</t>
        </r>
      </text>
    </comment>
    <comment ref="K363" authorId="0" shapeId="0" xr:uid="{42843753-EAA6-459B-BFB5-8D26CE7D7D74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64" authorId="0" shapeId="0" xr:uid="{DD355D8A-DDE0-46CD-9975-61C95465E3DE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65" authorId="0" shapeId="0" xr:uid="{226AD742-0B01-464D-880A-07479A6CF91A}">
      <text>
        <r>
          <rPr>
            <sz val="9"/>
            <color indexed="81"/>
            <rFont val="Segoe UI"/>
            <family val="2"/>
          </rPr>
          <t>Terminado a segunda vez em março de 2015 no PS3.</t>
        </r>
      </text>
    </comment>
    <comment ref="K365" authorId="0" shapeId="0" xr:uid="{A776F4EA-693E-4B06-8534-0BD5515E0FB5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66" authorId="0" shapeId="0" xr:uid="{1E500B4D-5A3C-4419-89E8-1DFDA3EA6309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67" authorId="0" shapeId="0" xr:uid="{EC4994A2-F8D6-498A-ABA7-A36F993D16B0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68" authorId="0" shapeId="0" xr:uid="{1B9B70F1-BF8C-4B31-99E9-032694C290CC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69" authorId="0" shapeId="0" xr:uid="{5ED469D6-1F80-490C-9877-E4C7926E7BDB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71" authorId="0" shapeId="0" xr:uid="{938C7487-946E-483B-8E7B-0E7133B418C9}">
      <text>
        <r>
          <rPr>
            <sz val="9"/>
            <color indexed="81"/>
            <rFont val="Segoe UI"/>
            <family val="2"/>
          </rPr>
          <t>Platina. 🏆</t>
        </r>
      </text>
    </comment>
    <comment ref="K373" authorId="0" shapeId="0" xr:uid="{A2568D63-4970-4879-AFF8-5710E3A7D9AD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75" authorId="0" shapeId="0" xr:uid="{38ABC4C6-3D37-4713-851E-213174541E18}">
      <text>
        <r>
          <rPr>
            <sz val="9"/>
            <color indexed="81"/>
            <rFont val="Segoe UI"/>
            <family val="2"/>
          </rPr>
          <t>Terminar a segunda vez em dezembro de 2018 no Switch.</t>
        </r>
      </text>
    </comment>
    <comment ref="K375" authorId="0" shapeId="0" xr:uid="{B53ABC42-06BF-47BE-A3F6-1EB27C9DB389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76" authorId="0" shapeId="0" xr:uid="{4F5100B4-A072-4E3F-8542-DD87707C76B9}">
      <text>
        <r>
          <rPr>
            <sz val="9"/>
            <color indexed="81"/>
            <rFont val="Segoe UI"/>
            <family val="2"/>
          </rPr>
          <t>Terminado a primeira em setembro de 2014 no PS3, a terceira em fevereiro de 2016 no PC, a quarta em junho de 2022 no PC.</t>
        </r>
      </text>
    </comment>
    <comment ref="B378" authorId="0" shapeId="0" xr:uid="{335F2247-0A7E-4FE8-A351-BD5E596BCBBD}">
      <text>
        <r>
          <rPr>
            <sz val="9"/>
            <color indexed="81"/>
            <rFont val="Segoe UI"/>
            <family val="2"/>
          </rPr>
          <t>Terminado a segunda vez em junho de 2020 no PS4.</t>
        </r>
      </text>
    </comment>
    <comment ref="B380" authorId="0" shapeId="0" xr:uid="{FFEA8B50-8BE5-4432-9E86-88781EC185DB}">
      <text>
        <r>
          <rPr>
            <sz val="9"/>
            <color indexed="81"/>
            <rFont val="Segoe UI"/>
            <family val="2"/>
          </rPr>
          <t>Terminado a segunda em dezembro de 2014 no PS4, a terceira em fevereiro de 2016 no PC, a quarta em junho de 2022 no PC.</t>
        </r>
      </text>
    </comment>
    <comment ref="B381" authorId="0" shapeId="0" xr:uid="{5A34B1D2-3B9A-4094-B7A7-704134A24816}">
      <text>
        <r>
          <rPr>
            <sz val="9"/>
            <color indexed="81"/>
            <rFont val="Segoe UI"/>
            <family val="2"/>
          </rPr>
          <t>Terminado a segunda vez em fevereiro de 2016 no PC.</t>
        </r>
      </text>
    </comment>
    <comment ref="K381" authorId="0" shapeId="0" xr:uid="{0A83E091-9BD8-4EDF-A00A-A28E99C677BD}">
      <text>
        <r>
          <rPr>
            <sz val="9"/>
            <color indexed="81"/>
            <rFont val="Segoe UI"/>
            <family val="2"/>
          </rPr>
          <t>Platina. 🏆</t>
        </r>
      </text>
    </comment>
    <comment ref="B383" authorId="0" shapeId="0" xr:uid="{4DD55B9A-8869-4B53-823D-01C358B3DCD6}">
      <text>
        <r>
          <rPr>
            <sz val="9"/>
            <color indexed="81"/>
            <rFont val="Segoe UI"/>
            <family val="2"/>
          </rPr>
          <t>Terminado a segunda vez em abril de 2020 no Wii.</t>
        </r>
      </text>
    </comment>
    <comment ref="B386" authorId="0" shapeId="0" xr:uid="{87BF3E65-A40C-4F4F-8E63-C289B89F88C8}">
      <text>
        <r>
          <rPr>
            <sz val="9"/>
            <color indexed="81"/>
            <rFont val="Segoe UI"/>
            <family val="2"/>
          </rPr>
          <t>Terminado a segunda vez em agosto de 2014 no PS3 e a terceira vez em fevereiro de 2016 no PC.</t>
        </r>
      </text>
    </comment>
    <comment ref="K386" authorId="0" shapeId="0" xr:uid="{C92ACBB1-538F-4DD0-A24C-606FE09A0B7F}">
      <text>
        <r>
          <rPr>
            <sz val="9"/>
            <color indexed="81"/>
            <rFont val="Segoe UI"/>
            <family val="2"/>
          </rPr>
          <t>Milestone. 🏆</t>
        </r>
      </text>
    </comment>
    <comment ref="B387" authorId="0" shapeId="0" xr:uid="{FEC0AA46-CF40-4E8B-96EC-32FD92A6C187}">
      <text>
        <r>
          <rPr>
            <sz val="9"/>
            <color indexed="81"/>
            <rFont val="Segoe UI"/>
            <family val="2"/>
          </rPr>
          <t>Terminado a segunda vez em novembro de 2017 no Nintendo 64.</t>
        </r>
      </text>
    </comment>
    <comment ref="B388" authorId="0" shapeId="0" xr:uid="{DBBF01AB-3DEB-474F-BE2C-0004D65C7098}">
      <text>
        <r>
          <rPr>
            <sz val="9"/>
            <color indexed="81"/>
            <rFont val="Segoe UI"/>
            <family val="2"/>
          </rPr>
          <t>Terminado a segunda vez em fevereiro de 2016 no PC.</t>
        </r>
      </text>
    </comment>
    <comment ref="K388" authorId="0" shapeId="0" xr:uid="{4D21C75F-2110-43A7-B304-82B5FE0DDB0B}">
      <text>
        <r>
          <rPr>
            <sz val="9"/>
            <color indexed="81"/>
            <rFont val="Segoe UI"/>
            <family val="2"/>
          </rPr>
          <t>Milestone. 🏆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<sst xmlns="http://schemas.openxmlformats.org/spreadsheetml/2006/main" count="2960" uniqueCount="515">
  <si>
    <t>Nº</t>
  </si>
  <si>
    <t>Nome</t>
  </si>
  <si>
    <t>Gênero</t>
  </si>
  <si>
    <t>Data</t>
  </si>
  <si>
    <t>Tempo</t>
  </si>
  <si>
    <t>Dificuldade</t>
  </si>
  <si>
    <t>Castlevania - Symphony of the Night</t>
  </si>
  <si>
    <t>Suikoden</t>
  </si>
  <si>
    <t>Suikoden II</t>
  </si>
  <si>
    <t>Hitman: Absolution</t>
  </si>
  <si>
    <t>Super Panda Adventures</t>
  </si>
  <si>
    <t>Condição p/ Finalizar</t>
  </si>
  <si>
    <t>Deadpool</t>
  </si>
  <si>
    <t>Pokémon X</t>
  </si>
  <si>
    <t>Pokémon Omega Ruby</t>
  </si>
  <si>
    <t>Super Mario 3D Land</t>
  </si>
  <si>
    <t>Mario Kart 7</t>
  </si>
  <si>
    <t>Mario Tennis Open</t>
  </si>
  <si>
    <t>Pokémon Moon</t>
  </si>
  <si>
    <t>Dragon Ball Xenoverse 2</t>
  </si>
  <si>
    <t>PC</t>
  </si>
  <si>
    <t>Plataforma</t>
  </si>
  <si>
    <t>Ação</t>
  </si>
  <si>
    <t>RPG</t>
  </si>
  <si>
    <t>Metroidvania</t>
  </si>
  <si>
    <t>Stealth</t>
  </si>
  <si>
    <t>Tomb Raider 2013</t>
  </si>
  <si>
    <t>Aventura</t>
  </si>
  <si>
    <t>Corrida</t>
  </si>
  <si>
    <t>Esporte</t>
  </si>
  <si>
    <t>Luta</t>
  </si>
  <si>
    <t>Dark Souls II: Scholar of the First Sin</t>
  </si>
  <si>
    <t>Médio</t>
  </si>
  <si>
    <t>Fácil</t>
  </si>
  <si>
    <t>Difícil</t>
  </si>
  <si>
    <t>Vencer todos torneios</t>
  </si>
  <si>
    <t>Terminar a história</t>
  </si>
  <si>
    <t>Sim</t>
  </si>
  <si>
    <t>Não</t>
  </si>
  <si>
    <t>Vencer todas as pistas</t>
  </si>
  <si>
    <t>Pontuação</t>
  </si>
  <si>
    <t>10 (Incrível)</t>
  </si>
  <si>
    <t>9 (Ótimo)</t>
  </si>
  <si>
    <t>8 (Muito bom)</t>
  </si>
  <si>
    <t>7 (Bom)</t>
  </si>
  <si>
    <t>6 (Decente)</t>
  </si>
  <si>
    <t>5 (Tanto faz)</t>
  </si>
  <si>
    <t>4 (Mediocre)</t>
  </si>
  <si>
    <t>3 (Ruim)</t>
  </si>
  <si>
    <t>2 (Terrível)</t>
  </si>
  <si>
    <t>1 (Tragédia)</t>
  </si>
  <si>
    <t>Total</t>
  </si>
  <si>
    <t>Hardcore</t>
  </si>
  <si>
    <t>Ano</t>
  </si>
  <si>
    <t>Yoshi's Woolly World</t>
  </si>
  <si>
    <t>Mario Kart 8</t>
  </si>
  <si>
    <t>Super Mario 3D World</t>
  </si>
  <si>
    <t>Xenoblade Chronicles</t>
  </si>
  <si>
    <t>New Super Mario Bros. U</t>
  </si>
  <si>
    <t>Status</t>
  </si>
  <si>
    <t>New Super Mario Bros.</t>
  </si>
  <si>
    <t>New Super Mario Bros. 2</t>
  </si>
  <si>
    <t>Super Mario 64</t>
  </si>
  <si>
    <t>007 Goldeneye</t>
  </si>
  <si>
    <t>Paper Mario</t>
  </si>
  <si>
    <t>Tiro</t>
  </si>
  <si>
    <t>Finalizar o modo fases</t>
  </si>
  <si>
    <t>Street Fighter 2</t>
  </si>
  <si>
    <t>Brave Dungeon</t>
  </si>
  <si>
    <t>Musical</t>
  </si>
  <si>
    <t>Finalizar todas músicas</t>
  </si>
  <si>
    <t>Finalizar todas lutas</t>
  </si>
  <si>
    <t>Pokémon HeartGold Version</t>
  </si>
  <si>
    <t>Fire Emblem: Awakening</t>
  </si>
  <si>
    <t>Metroid</t>
  </si>
  <si>
    <t>Super Metroid</t>
  </si>
  <si>
    <t>Metroid II - Return of Samus</t>
  </si>
  <si>
    <t>Super Mario World</t>
  </si>
  <si>
    <t>Pokémon FireRed Version</t>
  </si>
  <si>
    <t>Mario Kart Super Circuit</t>
  </si>
  <si>
    <t>Pokémon Colosseum</t>
  </si>
  <si>
    <t>Pokémon Emerald Version</t>
  </si>
  <si>
    <t>Streets of Rage</t>
  </si>
  <si>
    <t>Pokémon Sapphire Version</t>
  </si>
  <si>
    <t>Mario Kart 8 Deluxe</t>
  </si>
  <si>
    <t>Pokémon Platinum Version</t>
  </si>
  <si>
    <t>Pokémon Ruby Version</t>
  </si>
  <si>
    <t>Beat Up</t>
  </si>
  <si>
    <t>Metroid - Samus Returns</t>
  </si>
  <si>
    <t>Fire Emblem Fates: Birthright</t>
  </si>
  <si>
    <t>Super Mario Maker - 3DS</t>
  </si>
  <si>
    <t>Super Mario Maker - Wii U</t>
  </si>
  <si>
    <t>Ragnarok DS</t>
  </si>
  <si>
    <t>Metroid - Zero Mission</t>
  </si>
  <si>
    <t>Super Mario Odyssey</t>
  </si>
  <si>
    <t>Castlevania</t>
  </si>
  <si>
    <t>Banjo Kazooie</t>
  </si>
  <si>
    <t>Banjo Tooie</t>
  </si>
  <si>
    <t>Pokémon Ultra Moon</t>
  </si>
  <si>
    <t>Poochy &amp; Yoshi's Woolly World</t>
  </si>
  <si>
    <t>Metal Slug 7</t>
  </si>
  <si>
    <t>Jogar todas as partidas</t>
  </si>
  <si>
    <t>Mario Party 100</t>
  </si>
  <si>
    <t>Super Mario Sunshine</t>
  </si>
  <si>
    <t>Super Smash Bros. Melee</t>
  </si>
  <si>
    <t>Super Smash Bros. Brawl</t>
  </si>
  <si>
    <t>Kirby's Dream Land</t>
  </si>
  <si>
    <t>Tabuleiro</t>
  </si>
  <si>
    <t>Finalizar todos minigames</t>
  </si>
  <si>
    <t>Kirby's Dream Land 2</t>
  </si>
  <si>
    <t>Super Mario Galaxy</t>
  </si>
  <si>
    <t>Final Fantasy Tactics Advance</t>
  </si>
  <si>
    <t>Final Fantasy</t>
  </si>
  <si>
    <t>Xenoblade Chronicles 2</t>
  </si>
  <si>
    <t>Mario Kart DS</t>
  </si>
  <si>
    <t>Pokémon LeafGreen Version</t>
  </si>
  <si>
    <t>Final Fantasy II</t>
  </si>
  <si>
    <t>Puyo Puyo Tetris</t>
  </si>
  <si>
    <t>Lego Harry Potter: Years 1-4</t>
  </si>
  <si>
    <t>Pokémon SoulSilver Version</t>
  </si>
  <si>
    <t>Puzzle</t>
  </si>
  <si>
    <t>Final Fantasy III</t>
  </si>
  <si>
    <t>God of War</t>
  </si>
  <si>
    <t>Pokémon Quest</t>
  </si>
  <si>
    <t>Pokémon Diamond Version</t>
  </si>
  <si>
    <t>Pokémon Pearl Version</t>
  </si>
  <si>
    <t>Donkey Kong 64</t>
  </si>
  <si>
    <t>Pokémon White Version</t>
  </si>
  <si>
    <t>Pokémon Black Version</t>
  </si>
  <si>
    <t>Pokémon White Version 2</t>
  </si>
  <si>
    <t>Pokémon Black Version 2</t>
  </si>
  <si>
    <t>Pokémon Y</t>
  </si>
  <si>
    <t>Pokémon Alpha Sapphire</t>
  </si>
  <si>
    <t>Super Mario Party</t>
  </si>
  <si>
    <t>Pokémon Let's Go, Pikachu!</t>
  </si>
  <si>
    <t>Yu-Gi-Oh! - Forbidden Memories</t>
  </si>
  <si>
    <t>Pokémon Sun</t>
  </si>
  <si>
    <t>Pokémon Yellow Version</t>
  </si>
  <si>
    <t>Pokémon Red Version</t>
  </si>
  <si>
    <t>Pokémon Blue Version</t>
  </si>
  <si>
    <t>Pokémon Crystal Version</t>
  </si>
  <si>
    <t>Pokémon Gold Version</t>
  </si>
  <si>
    <t>Pokémon Silver Version</t>
  </si>
  <si>
    <t>Donkey Kong Country</t>
  </si>
  <si>
    <t>Final Fight</t>
  </si>
  <si>
    <t>Final Fantasy IV</t>
  </si>
  <si>
    <t>Batman Returns</t>
  </si>
  <si>
    <t>Pokémon XD - Gale of Darkness</t>
  </si>
  <si>
    <t>Final Fantasy - Anniversary Edition</t>
  </si>
  <si>
    <t>Final Fantasy II Anniversary Edition</t>
  </si>
  <si>
    <t>Pokémon Ultra Sun</t>
  </si>
  <si>
    <t>Final Fantasy IV - The Complete Collection</t>
  </si>
  <si>
    <t>Aladdin</t>
  </si>
  <si>
    <t>Hollow Knight</t>
  </si>
  <si>
    <t>Super Kirby Clash</t>
  </si>
  <si>
    <t>Pokémon Shield</t>
  </si>
  <si>
    <t>PSP</t>
  </si>
  <si>
    <t>Simulador</t>
  </si>
  <si>
    <t>Resident Evil 4</t>
  </si>
  <si>
    <t>Mortal Kombat X</t>
  </si>
  <si>
    <t>Rise of the Tomb Raider</t>
  </si>
  <si>
    <t>Castlevania Requiem</t>
  </si>
  <si>
    <t>A Hat in Time</t>
  </si>
  <si>
    <t>Streets of Rage 4</t>
  </si>
  <si>
    <t>Hitman: Absolution HD</t>
  </si>
  <si>
    <t>Bloodstained: Ritual of the Night</t>
  </si>
  <si>
    <t>Mortal Kombat 11</t>
  </si>
  <si>
    <t>Grand Theft Auto V</t>
  </si>
  <si>
    <t>Sega Mega Drive &amp; Genesis Classics</t>
  </si>
  <si>
    <t>Yooka-Laylee</t>
  </si>
  <si>
    <t>Finalizar todos jogos</t>
  </si>
  <si>
    <t>Dragon Quest XI - Echoes of na Elusive Age</t>
  </si>
  <si>
    <t>Resident Evil 0</t>
  </si>
  <si>
    <t>Nexomon: Extinction</t>
  </si>
  <si>
    <t>Final Fantasy VII</t>
  </si>
  <si>
    <t>Metal Slug Anthology</t>
  </si>
  <si>
    <t>Plants Vs. Zombies</t>
  </si>
  <si>
    <t>Sandbox</t>
  </si>
  <si>
    <t>Pegar todos troféus</t>
  </si>
  <si>
    <t>Mario Party 3</t>
  </si>
  <si>
    <t>Pokémon Sword</t>
  </si>
  <si>
    <t>Pokémon Stadium 2</t>
  </si>
  <si>
    <t>Super Mario 3D World + Bowser's Fury</t>
  </si>
  <si>
    <t>Banjo Kazooie: Grunty's Revenge</t>
  </si>
  <si>
    <t>Pokémon Pinball: Ruby &amp; Sapphire</t>
  </si>
  <si>
    <t>Pinball</t>
  </si>
  <si>
    <t>Grand Theft Auto San Andreas</t>
  </si>
  <si>
    <t>Maneater</t>
  </si>
  <si>
    <t>Tony Hawks Pro Skater 1+2</t>
  </si>
  <si>
    <t>Metroid Dread</t>
  </si>
  <si>
    <t>Ver o show do K.K.</t>
  </si>
  <si>
    <t>Pokémon Legends Arceus</t>
  </si>
  <si>
    <t>Star Craft</t>
  </si>
  <si>
    <t>Scribblenauts Unlimited</t>
  </si>
  <si>
    <t>Castlevania: Lords of Shadow - Mirror of Fate HD</t>
  </si>
  <si>
    <t>Megaman X</t>
  </si>
  <si>
    <t>Age of Empires: Definitive Edition</t>
  </si>
  <si>
    <t>Finalizar todas campanhas</t>
  </si>
  <si>
    <t>11 (Favorito)</t>
  </si>
  <si>
    <t>Oceanhorn: Monster of Uncharted Seas</t>
  </si>
  <si>
    <t>Middle-earth: Shadow of Mordor</t>
  </si>
  <si>
    <t>Dungeons &amp; Dragons: Chronicles of Mystara</t>
  </si>
  <si>
    <t>The Witcher 3: Wild Hunt</t>
  </si>
  <si>
    <t>Final Fantasy I - Pixel Remaster</t>
  </si>
  <si>
    <t>Mr.President!</t>
  </si>
  <si>
    <t>Rogue Legacy</t>
  </si>
  <si>
    <t>Roguelike</t>
  </si>
  <si>
    <t>Crash Bandicoot N. Sane Trilogy - Crash Bandicoot 1</t>
  </si>
  <si>
    <t>Metal Slug</t>
  </si>
  <si>
    <t>Chrono Trigger</t>
  </si>
  <si>
    <t>Final Fantasy II - Pixel Remaster</t>
  </si>
  <si>
    <t>Crash Bandicoot N. Sane Trilogy - Crash Bandicoot 3</t>
  </si>
  <si>
    <t>Final Fantasy III - Pixel Remaster</t>
  </si>
  <si>
    <t>Final Fantasy IV - Pixel Remaster</t>
  </si>
  <si>
    <t>Final Fantasy V - Pixel Remaster</t>
  </si>
  <si>
    <t>Super Lucky's Tale</t>
  </si>
  <si>
    <t>Super Smash Bros. Ultimate</t>
  </si>
  <si>
    <t>Completar a pokedex</t>
  </si>
  <si>
    <t>Pokémon Home</t>
  </si>
  <si>
    <t>Xenoblade Chronicles: Definitive Edition</t>
  </si>
  <si>
    <t>Cat Quest</t>
  </si>
  <si>
    <t>Hades</t>
  </si>
  <si>
    <t>Dragon Quest XI - Echoes of na Elusive Age S</t>
  </si>
  <si>
    <t>Pokémon Stadium</t>
  </si>
  <si>
    <t>Vencer o Mewtwo no R-2</t>
  </si>
  <si>
    <t>Vencer o Rival no R-2</t>
  </si>
  <si>
    <t>Origem</t>
  </si>
  <si>
    <t>NES</t>
  </si>
  <si>
    <t>The Legend of Zelda: The Minish Cap</t>
  </si>
  <si>
    <t>Final Fantasy VI - Pixel Remaster</t>
  </si>
  <si>
    <t>The Legend of Zelda: Link's Awakening</t>
  </si>
  <si>
    <t>Show do Milhão</t>
  </si>
  <si>
    <t>Show do Milhão: Volume 2</t>
  </si>
  <si>
    <t>Ganhar um milhão de reais</t>
  </si>
  <si>
    <t>The Legend of Zelda: Breath of the Wild</t>
  </si>
  <si>
    <t>The Legend of Zelda: Ocarina of Time</t>
  </si>
  <si>
    <t>The Legend of Zelda: A Link to the Past</t>
  </si>
  <si>
    <t>The Legend of Zelda: A Link Between Worlds</t>
  </si>
  <si>
    <t>The Legend of Zelda: Oracle of Ages</t>
  </si>
  <si>
    <t>The Legend of Zelda: Oracle of Seasons</t>
  </si>
  <si>
    <t>Harry Potter and the Sorcerer's Stone</t>
  </si>
  <si>
    <t>Theatrhythm Final Fantasy</t>
  </si>
  <si>
    <t>Fire Emblem Engage</t>
  </si>
  <si>
    <t>Kirby 64: The Crystal Shards</t>
  </si>
  <si>
    <t>Donkey Kong Country: Tropical Freeze</t>
  </si>
  <si>
    <t>New Pokémon Snap</t>
  </si>
  <si>
    <t>Xenoblade Chronicles 3</t>
  </si>
  <si>
    <t>Super Mario Bros. Wonder</t>
  </si>
  <si>
    <t>Super Mario Land</t>
  </si>
  <si>
    <t>Super Mario RPG</t>
  </si>
  <si>
    <t>Super Mario Land 2: 6 Golden Coins</t>
  </si>
  <si>
    <t>The Elder Scrolls V: Skyrim - Special Edition</t>
  </si>
  <si>
    <t>Super Mario Advance 2: Super Mario World</t>
  </si>
  <si>
    <t>Mario Pinball Land</t>
  </si>
  <si>
    <t>Derrotar o Bowser</t>
  </si>
  <si>
    <t>Theatrhythm Final Fantasy: Curtain Call</t>
  </si>
  <si>
    <t>Enfrentar o Chaos</t>
  </si>
  <si>
    <t>Stardew Valley</t>
  </si>
  <si>
    <t>The Legend of Zelda: Tears of the Kingdom</t>
  </si>
  <si>
    <t>Ranking melhores do ano 2023</t>
  </si>
  <si>
    <t>Dragon Quest XI - Echoes of an Elusive Age S</t>
  </si>
  <si>
    <t>Xenoblade 3</t>
  </si>
  <si>
    <t>Mario &amp; Luigi: Superstar Saga</t>
  </si>
  <si>
    <t>Mario &amp; Luigi: Dream Team</t>
  </si>
  <si>
    <t>Ver o avô no ano 3</t>
  </si>
  <si>
    <t>Goof Troop</t>
  </si>
  <si>
    <t>The Legend of Zelda: A Link to the Past &amp; Four Swords</t>
  </si>
  <si>
    <t>Hidden Through Time</t>
  </si>
  <si>
    <t>Terminar todas fases</t>
  </si>
  <si>
    <t>The Messenger</t>
  </si>
  <si>
    <t>Ranking melhores do ano 2024</t>
  </si>
  <si>
    <t>Dragon Ball Xenoverse</t>
  </si>
  <si>
    <t>Bejeweled 3</t>
  </si>
  <si>
    <t>Terminar o modo Quest</t>
  </si>
  <si>
    <t>Disgaea PC</t>
  </si>
  <si>
    <t>Grand Theft Auto: Vice City - The Definitive Edition</t>
  </si>
  <si>
    <t>Grand Theft Auto III - The Definitive Edition</t>
  </si>
  <si>
    <t>Grand Theft Auto: San Andreas - The Definitive Edition</t>
  </si>
  <si>
    <t>Guitar Hero</t>
  </si>
  <si>
    <t>Guitar Hero II</t>
  </si>
  <si>
    <t>Guitar Hero Encore: Rocks the 80s</t>
  </si>
  <si>
    <t>Guitar Hero: On Tour</t>
  </si>
  <si>
    <t>Terminar o modo carreira</t>
  </si>
  <si>
    <t>Guitar Hero On Tour: Decades</t>
  </si>
  <si>
    <t>Guitar Hero On Tour: Modern Hits</t>
  </si>
  <si>
    <t>Band Hero</t>
  </si>
  <si>
    <t>Guitar Hero III: Legends of Rock</t>
  </si>
  <si>
    <t>Dragon Ball FighterZ</t>
  </si>
  <si>
    <t>Marvel vs. Capcom 2: New Age of Heroes</t>
  </si>
  <si>
    <t>N</t>
  </si>
  <si>
    <t>R</t>
  </si>
  <si>
    <t>EA Sports FC 24</t>
  </si>
  <si>
    <t>Vencer a UCL</t>
  </si>
  <si>
    <r>
      <t xml:space="preserve">Banjo Kazooie </t>
    </r>
    <r>
      <rPr>
        <b/>
        <sz val="11"/>
        <color theme="1"/>
        <rFont val="Arial"/>
        <family val="2"/>
      </rPr>
      <t>(1)</t>
    </r>
  </si>
  <si>
    <r>
      <t xml:space="preserve">Bloodstained: Ritual of the Night </t>
    </r>
    <r>
      <rPr>
        <b/>
        <sz val="11"/>
        <color theme="1"/>
        <rFont val="Arial"/>
        <family val="2"/>
      </rPr>
      <t>(1)</t>
    </r>
  </si>
  <si>
    <r>
      <t xml:space="preserve">Castlevania - Symphony of the Night </t>
    </r>
    <r>
      <rPr>
        <b/>
        <sz val="11"/>
        <color theme="1"/>
        <rFont val="Arial"/>
        <family val="2"/>
      </rPr>
      <t>(2)</t>
    </r>
  </si>
  <si>
    <r>
      <t xml:space="preserve">Castlevania - Symphony of the Night </t>
    </r>
    <r>
      <rPr>
        <b/>
        <sz val="11"/>
        <color theme="1"/>
        <rFont val="Arial"/>
        <family val="2"/>
      </rPr>
      <t>(1)</t>
    </r>
  </si>
  <si>
    <r>
      <t xml:space="preserve">Dark Souls II: Scholar of the First Sin </t>
    </r>
    <r>
      <rPr>
        <b/>
        <sz val="11"/>
        <color theme="1"/>
        <rFont val="Arial"/>
        <family val="2"/>
      </rPr>
      <t>(1)</t>
    </r>
  </si>
  <si>
    <r>
      <t xml:space="preserve">Deadpool </t>
    </r>
    <r>
      <rPr>
        <b/>
        <sz val="11"/>
        <color theme="1"/>
        <rFont val="Arial"/>
        <family val="2"/>
      </rPr>
      <t>(1)</t>
    </r>
  </si>
  <si>
    <r>
      <t xml:space="preserve">Donkey Kong Country: Tropical Freeze </t>
    </r>
    <r>
      <rPr>
        <b/>
        <sz val="11"/>
        <color theme="1"/>
        <rFont val="Arial"/>
        <family val="2"/>
      </rPr>
      <t>(1)</t>
    </r>
  </si>
  <si>
    <r>
      <t xml:space="preserve">Donkey Kong 64 </t>
    </r>
    <r>
      <rPr>
        <b/>
        <sz val="11"/>
        <color theme="1"/>
        <rFont val="Arial"/>
        <family val="2"/>
      </rPr>
      <t>(1)</t>
    </r>
  </si>
  <si>
    <r>
      <t xml:space="preserve">Final Fantasy III </t>
    </r>
    <r>
      <rPr>
        <b/>
        <sz val="11"/>
        <color theme="1"/>
        <rFont val="Arial"/>
        <family val="2"/>
      </rPr>
      <t>(1)</t>
    </r>
  </si>
  <si>
    <r>
      <t xml:space="preserve">Guitar Hero III: Legends of Rock </t>
    </r>
    <r>
      <rPr>
        <b/>
        <sz val="11"/>
        <color theme="1"/>
        <rFont val="Arial"/>
        <family val="2"/>
      </rPr>
      <t>(1)</t>
    </r>
  </si>
  <si>
    <r>
      <t xml:space="preserve">Hollow Knight </t>
    </r>
    <r>
      <rPr>
        <b/>
        <sz val="11"/>
        <color theme="1"/>
        <rFont val="Arial"/>
        <family val="2"/>
      </rPr>
      <t>(1)</t>
    </r>
  </si>
  <si>
    <r>
      <t xml:space="preserve">Metroid - Zero Mission </t>
    </r>
    <r>
      <rPr>
        <b/>
        <sz val="11"/>
        <color theme="1"/>
        <rFont val="Arial"/>
        <family val="2"/>
      </rPr>
      <t>(1)</t>
    </r>
  </si>
  <si>
    <r>
      <t xml:space="preserve">Paper Mario </t>
    </r>
    <r>
      <rPr>
        <b/>
        <sz val="11"/>
        <color theme="1"/>
        <rFont val="Arial"/>
        <family val="2"/>
      </rPr>
      <t>(1)</t>
    </r>
  </si>
  <si>
    <r>
      <t xml:space="preserve">Plants Vs. Zombies </t>
    </r>
    <r>
      <rPr>
        <b/>
        <sz val="11"/>
        <color theme="1"/>
        <rFont val="Arial"/>
        <family val="2"/>
      </rPr>
      <t>(2)</t>
    </r>
  </si>
  <si>
    <r>
      <t xml:space="preserve">Plants Vs. Zombies </t>
    </r>
    <r>
      <rPr>
        <b/>
        <sz val="11"/>
        <color theme="1"/>
        <rFont val="Arial"/>
        <family val="2"/>
      </rPr>
      <t>(1)</t>
    </r>
  </si>
  <si>
    <r>
      <t xml:space="preserve">Pokémon Emerald Version </t>
    </r>
    <r>
      <rPr>
        <b/>
        <sz val="11"/>
        <color theme="1"/>
        <rFont val="Arial"/>
        <family val="2"/>
      </rPr>
      <t>(1)</t>
    </r>
  </si>
  <si>
    <r>
      <t xml:space="preserve">Pokémon HeartGold Version </t>
    </r>
    <r>
      <rPr>
        <b/>
        <sz val="11"/>
        <color theme="1"/>
        <rFont val="Arial"/>
        <family val="2"/>
      </rPr>
      <t>(1)</t>
    </r>
  </si>
  <si>
    <r>
      <t xml:space="preserve">Pokémon Moon </t>
    </r>
    <r>
      <rPr>
        <b/>
        <sz val="11"/>
        <color theme="1"/>
        <rFont val="Arial"/>
        <family val="2"/>
      </rPr>
      <t>(1)</t>
    </r>
  </si>
  <si>
    <r>
      <t xml:space="preserve">Pokémon Omega Ruby </t>
    </r>
    <r>
      <rPr>
        <b/>
        <sz val="11"/>
        <color theme="1"/>
        <rFont val="Arial"/>
        <family val="2"/>
      </rPr>
      <t>(1)</t>
    </r>
  </si>
  <si>
    <r>
      <t xml:space="preserve">Pokémon Platinum Version </t>
    </r>
    <r>
      <rPr>
        <b/>
        <sz val="11"/>
        <color theme="1"/>
        <rFont val="Arial"/>
        <family val="2"/>
      </rPr>
      <t>(1)</t>
    </r>
  </si>
  <si>
    <r>
      <t xml:space="preserve">Pokémon Stadium 2 </t>
    </r>
    <r>
      <rPr>
        <b/>
        <sz val="11"/>
        <color theme="1"/>
        <rFont val="Arial"/>
        <family val="2"/>
      </rPr>
      <t>(1)</t>
    </r>
  </si>
  <si>
    <r>
      <t xml:space="preserve">Pokémon Ultra Moon </t>
    </r>
    <r>
      <rPr>
        <b/>
        <sz val="11"/>
        <color theme="1"/>
        <rFont val="Arial"/>
        <family val="2"/>
      </rPr>
      <t>(1)</t>
    </r>
  </si>
  <si>
    <r>
      <t xml:space="preserve">Puyo Puyo Tetris </t>
    </r>
    <r>
      <rPr>
        <b/>
        <sz val="11"/>
        <color theme="1"/>
        <rFont val="Arial"/>
        <family val="2"/>
      </rPr>
      <t>(1)</t>
    </r>
  </si>
  <si>
    <r>
      <t xml:space="preserve">Streets of Rage 4 </t>
    </r>
    <r>
      <rPr>
        <b/>
        <sz val="11"/>
        <color theme="1"/>
        <rFont val="Arial"/>
        <family val="2"/>
      </rPr>
      <t>(1)</t>
    </r>
  </si>
  <si>
    <r>
      <t xml:space="preserve">Streets of Rage 4 </t>
    </r>
    <r>
      <rPr>
        <b/>
        <sz val="11"/>
        <color theme="1"/>
        <rFont val="Arial"/>
        <family val="2"/>
      </rPr>
      <t>(3)</t>
    </r>
  </si>
  <si>
    <t>Super Mario Bros.</t>
  </si>
  <si>
    <r>
      <t xml:space="preserve">Super Mario Bros. </t>
    </r>
    <r>
      <rPr>
        <b/>
        <sz val="11"/>
        <color theme="1"/>
        <rFont val="Arial"/>
        <family val="2"/>
      </rPr>
      <t>(1)</t>
    </r>
  </si>
  <si>
    <r>
      <t xml:space="preserve">Super Mario World </t>
    </r>
    <r>
      <rPr>
        <b/>
        <sz val="11"/>
        <color theme="1"/>
        <rFont val="Arial"/>
        <family val="2"/>
      </rPr>
      <t>(1)</t>
    </r>
  </si>
  <si>
    <r>
      <t xml:space="preserve">Super Mario World </t>
    </r>
    <r>
      <rPr>
        <b/>
        <sz val="11"/>
        <color theme="1"/>
        <rFont val="Arial"/>
        <family val="2"/>
      </rPr>
      <t>(2)</t>
    </r>
  </si>
  <si>
    <r>
      <t xml:space="preserve">The Legend of Zelda: Ocarina of Time </t>
    </r>
    <r>
      <rPr>
        <b/>
        <sz val="11"/>
        <color theme="1"/>
        <rFont val="Arial"/>
        <family val="2"/>
      </rPr>
      <t>(1)</t>
    </r>
  </si>
  <si>
    <r>
      <t xml:space="preserve">The Legend of Zelda: Breath of the Wild </t>
    </r>
    <r>
      <rPr>
        <b/>
        <sz val="11"/>
        <color theme="1"/>
        <rFont val="Arial"/>
        <family val="2"/>
      </rPr>
      <t>(1)</t>
    </r>
  </si>
  <si>
    <r>
      <t xml:space="preserve">Tomb Raider 2013 </t>
    </r>
    <r>
      <rPr>
        <b/>
        <sz val="11"/>
        <color theme="1"/>
        <rFont val="Arial"/>
        <family val="2"/>
      </rPr>
      <t>(1)</t>
    </r>
  </si>
  <si>
    <r>
      <t xml:space="preserve">Yu-Gi-Oh! - Forbidden Memories </t>
    </r>
    <r>
      <rPr>
        <b/>
        <sz val="11"/>
        <color theme="1"/>
        <rFont val="Arial"/>
        <family val="2"/>
      </rPr>
      <t>(1)</t>
    </r>
  </si>
  <si>
    <r>
      <t xml:space="preserve">Yu-Gi-Oh! - Forbidden Memories </t>
    </r>
    <r>
      <rPr>
        <b/>
        <sz val="11"/>
        <color theme="1"/>
        <rFont val="Arial"/>
        <family val="2"/>
      </rPr>
      <t>(2)</t>
    </r>
  </si>
  <si>
    <r>
      <t xml:space="preserve">Pokémon X </t>
    </r>
    <r>
      <rPr>
        <b/>
        <sz val="11"/>
        <color theme="1"/>
        <rFont val="Arial"/>
        <family val="2"/>
      </rPr>
      <t>(1)</t>
    </r>
  </si>
  <si>
    <r>
      <t xml:space="preserve">Banjo Kazooie </t>
    </r>
    <r>
      <rPr>
        <b/>
        <sz val="11"/>
        <color theme="1"/>
        <rFont val="Arial"/>
        <family val="2"/>
      </rPr>
      <t>(2)</t>
    </r>
  </si>
  <si>
    <t>Primeira vez</t>
  </si>
  <si>
    <t>Novamente</t>
  </si>
  <si>
    <t>Jogos Totais</t>
  </si>
  <si>
    <t>Finalizados</t>
  </si>
  <si>
    <t>Batman: Arkham Asylum</t>
  </si>
  <si>
    <r>
      <t>Pokémon White Version</t>
    </r>
    <r>
      <rPr>
        <b/>
        <sz val="11"/>
        <color theme="1"/>
        <rFont val="Arial"/>
        <family val="2"/>
      </rPr>
      <t xml:space="preserve"> (1)</t>
    </r>
  </si>
  <si>
    <t>Ranking melhores do ano 2025</t>
  </si>
  <si>
    <t>Yoshi's New Island</t>
  </si>
  <si>
    <t>Super Mario Party Jamboree</t>
  </si>
  <si>
    <t>Terminar o modo história</t>
  </si>
  <si>
    <t>Mario Kart World</t>
  </si>
  <si>
    <t>Donkey Kong Bananza</t>
  </si>
  <si>
    <t>Switch</t>
  </si>
  <si>
    <t>Switch 2</t>
  </si>
  <si>
    <t>3DS</t>
  </si>
  <si>
    <t>PS4</t>
  </si>
  <si>
    <t>DS</t>
  </si>
  <si>
    <t>Wii</t>
  </si>
  <si>
    <t>SNES</t>
  </si>
  <si>
    <t>N64</t>
  </si>
  <si>
    <t>Wii U</t>
  </si>
  <si>
    <t>GBA</t>
  </si>
  <si>
    <t>X Series</t>
  </si>
  <si>
    <t>GB</t>
  </si>
  <si>
    <t>GC</t>
  </si>
  <si>
    <t>GBC</t>
  </si>
  <si>
    <t>Vita</t>
  </si>
  <si>
    <t>PS3</t>
  </si>
  <si>
    <t>X One</t>
  </si>
  <si>
    <t>PS2</t>
  </si>
  <si>
    <t>MD</t>
  </si>
  <si>
    <t>PS1</t>
  </si>
  <si>
    <t>DLC - Pokémon Scarlet - The Indigo Disk</t>
  </si>
  <si>
    <t>DLC - Pokémon Scarlet - The Teal Mask</t>
  </si>
  <si>
    <t>DLC - Xenoblade Chronicles 3: Future Redeemed</t>
  </si>
  <si>
    <t>DLC - Xenoblade Chronicles: Future Connected</t>
  </si>
  <si>
    <t>Mario &amp; Luigi: Brothership</t>
  </si>
  <si>
    <t>Luigi's Mansion 2 HD</t>
  </si>
  <si>
    <t>The House of the Dead: Remake</t>
  </si>
  <si>
    <t>Mario + Rabbids Kingdom Battle</t>
  </si>
  <si>
    <t>DLC - Xenoblade 3: Future Redeemed</t>
  </si>
  <si>
    <t>Mario Strikers: Battle League</t>
  </si>
  <si>
    <t>Prince of Persia: The Lost Crown</t>
  </si>
  <si>
    <r>
      <t xml:space="preserve">Super Mario Galaxy </t>
    </r>
    <r>
      <rPr>
        <b/>
        <sz val="11"/>
        <color theme="1"/>
        <rFont val="Arial"/>
        <family val="2"/>
      </rPr>
      <t>(1)</t>
    </r>
  </si>
  <si>
    <t>Pokémon Legends Z-A</t>
  </si>
  <si>
    <t>Disney Illusion Island</t>
  </si>
  <si>
    <t>Pokémon Let's Go, Eevee!</t>
  </si>
  <si>
    <t>DLC - Pokémon Legends ZA - Mega Dimension</t>
  </si>
  <si>
    <t>Super Mario Bros 3</t>
  </si>
  <si>
    <t>Ranking melhores do ano 2026</t>
  </si>
  <si>
    <t>EA Sports FC 25</t>
  </si>
  <si>
    <t>Vencer a Copa do Mundo</t>
  </si>
  <si>
    <r>
      <t xml:space="preserve">Pokémon FireRed Version </t>
    </r>
    <r>
      <rPr>
        <b/>
        <sz val="11"/>
        <color theme="1"/>
        <rFont val="Arial"/>
        <family val="2"/>
      </rPr>
      <t>(1)</t>
    </r>
  </si>
  <si>
    <t>Lego Harry Potter: Years 5-7</t>
  </si>
  <si>
    <t>Lego The Lord of the Rings</t>
  </si>
  <si>
    <t>Lego Batman: The Videogame</t>
  </si>
  <si>
    <t>Ocean's Heart</t>
  </si>
  <si>
    <t>Blossom Tales: The Sleeping King</t>
  </si>
  <si>
    <t>Kirby Star Allies</t>
  </si>
  <si>
    <t>Kirby and the Forgotten Land</t>
  </si>
  <si>
    <t>DLC - Kirby and the Forgotten Land - Star-Crossed World</t>
  </si>
  <si>
    <t>Kirby's Return to Dream Land Deluxe</t>
  </si>
  <si>
    <t>Kirby: Planet Robobot</t>
  </si>
  <si>
    <t>Kirby: Triple Deluxe</t>
  </si>
  <si>
    <r>
      <t xml:space="preserve">Kirby: Triple Deluxe </t>
    </r>
    <r>
      <rPr>
        <b/>
        <sz val="11"/>
        <color theme="1"/>
        <rFont val="Arial"/>
        <family val="2"/>
      </rPr>
      <t>(1)</t>
    </r>
  </si>
  <si>
    <t>Super Mario Maker 2</t>
  </si>
  <si>
    <t>Terminar o castelo</t>
  </si>
  <si>
    <t>Paper Mario: Sticker Star</t>
  </si>
  <si>
    <t>Paper Mario: The Thousand-Year Door</t>
  </si>
  <si>
    <t>Pokémon Heart &amp; Soul - Hack Rom</t>
  </si>
  <si>
    <t>Pokémon Heart &amp; Soul</t>
  </si>
  <si>
    <t>Yoshi and the Mysterious Book</t>
  </si>
  <si>
    <t>Nintendo Switch Sports</t>
  </si>
  <si>
    <t>Jogar todos os modos</t>
  </si>
  <si>
    <t>Fire Emblem: Shadow Dragon</t>
  </si>
  <si>
    <t>Marvel Cosmic Invasion</t>
  </si>
  <si>
    <t>Crash Team Racing Nitro-Fueled</t>
  </si>
  <si>
    <r>
      <t xml:space="preserve">Ultra Street Fighter II The Final Challengers - </t>
    </r>
    <r>
      <rPr>
        <b/>
        <sz val="11"/>
        <color theme="1"/>
        <rFont val="Arial"/>
        <family val="2"/>
      </rPr>
      <t>[D]</t>
    </r>
  </si>
  <si>
    <t>Com 100%</t>
  </si>
  <si>
    <t>Sem 100%</t>
  </si>
  <si>
    <r>
      <t xml:space="preserve">Marvel Cosmic Invasion - </t>
    </r>
    <r>
      <rPr>
        <b/>
        <sz val="11"/>
        <color theme="1"/>
        <rFont val="Arial"/>
        <family val="2"/>
      </rPr>
      <t>[D]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[P]</t>
    </r>
  </si>
  <si>
    <t>DLC - Xenoblade Chronicles 2: Torna - The Golden Country</t>
  </si>
  <si>
    <r>
      <t xml:space="preserve">Animal Crossing - New Leaf - </t>
    </r>
    <r>
      <rPr>
        <b/>
        <sz val="11"/>
        <color theme="1"/>
        <rFont val="Arial"/>
        <family val="2"/>
      </rPr>
      <t>[P]</t>
    </r>
  </si>
  <si>
    <r>
      <t xml:space="preserve">Conker's Bad Fur Day - </t>
    </r>
    <r>
      <rPr>
        <b/>
        <sz val="11"/>
        <color theme="1"/>
        <rFont val="Arial"/>
        <family val="2"/>
      </rPr>
      <t>[P]</t>
    </r>
  </si>
  <si>
    <r>
      <t xml:space="preserve">Conhecimento é Poder - </t>
    </r>
    <r>
      <rPr>
        <b/>
        <sz val="11"/>
        <color theme="1"/>
        <rFont val="Arial"/>
        <family val="2"/>
      </rPr>
      <t>[P]</t>
    </r>
  </si>
  <si>
    <r>
      <t xml:space="preserve">Minecraft: Playstation 3 Edition - </t>
    </r>
    <r>
      <rPr>
        <b/>
        <sz val="11"/>
        <color theme="1"/>
        <rFont val="Arial"/>
        <family val="2"/>
      </rPr>
      <t>[P]</t>
    </r>
  </si>
  <si>
    <r>
      <t xml:space="preserve">Streets of Rage 4 </t>
    </r>
    <r>
      <rPr>
        <b/>
        <sz val="11"/>
        <color theme="1"/>
        <rFont val="Arial"/>
        <family val="2"/>
      </rPr>
      <t>(2)</t>
    </r>
    <r>
      <rPr>
        <sz val="11"/>
        <color theme="1"/>
        <rFont val="Arial"/>
        <family val="2"/>
      </rPr>
      <t xml:space="preserve"> - </t>
    </r>
    <r>
      <rPr>
        <b/>
        <sz val="11"/>
        <color theme="1"/>
        <rFont val="Arial"/>
        <family val="2"/>
      </rPr>
      <t>[P]</t>
    </r>
  </si>
  <si>
    <r>
      <t xml:space="preserve">Minecraft: Playstation 4 Edition - </t>
    </r>
    <r>
      <rPr>
        <b/>
        <sz val="11"/>
        <color theme="1"/>
        <rFont val="Arial"/>
        <family val="2"/>
      </rPr>
      <t>[P]</t>
    </r>
  </si>
  <si>
    <r>
      <t xml:space="preserve">Animal Crossing - New Horizons - </t>
    </r>
    <r>
      <rPr>
        <b/>
        <sz val="11"/>
        <color theme="1"/>
        <rFont val="Arial"/>
        <family val="2"/>
      </rPr>
      <t>[P]</t>
    </r>
  </si>
  <si>
    <r>
      <t xml:space="preserve">Pokémon Brilliant Diamond - </t>
    </r>
    <r>
      <rPr>
        <b/>
        <sz val="11"/>
        <color theme="1"/>
        <rFont val="Arial"/>
        <family val="2"/>
      </rPr>
      <t>[P]</t>
    </r>
  </si>
  <si>
    <r>
      <t xml:space="preserve">99 Vidas - </t>
    </r>
    <r>
      <rPr>
        <b/>
        <sz val="11"/>
        <color theme="1"/>
        <rFont val="Arial"/>
        <family val="2"/>
      </rPr>
      <t>[P]</t>
    </r>
  </si>
  <si>
    <r>
      <t xml:space="preserve">Human Fall Flat </t>
    </r>
    <r>
      <rPr>
        <b/>
        <sz val="11"/>
        <color theme="1"/>
        <rFont val="Arial"/>
        <family val="2"/>
      </rPr>
      <t>(1)</t>
    </r>
    <r>
      <rPr>
        <sz val="11"/>
        <color theme="1"/>
        <rFont val="Arial"/>
        <family val="2"/>
      </rPr>
      <t xml:space="preserve"> - </t>
    </r>
    <r>
      <rPr>
        <b/>
        <sz val="11"/>
        <color theme="1"/>
        <rFont val="Arial"/>
        <family val="2"/>
      </rPr>
      <t>[P]</t>
    </r>
  </si>
  <si>
    <r>
      <t xml:space="preserve">Human Fall Flat - </t>
    </r>
    <r>
      <rPr>
        <b/>
        <sz val="11"/>
        <color theme="1"/>
        <rFont val="Arial"/>
        <family val="2"/>
      </rPr>
      <t>[P]</t>
    </r>
  </si>
  <si>
    <r>
      <t>Monster Hunter World -</t>
    </r>
    <r>
      <rPr>
        <b/>
        <sz val="11"/>
        <color theme="1"/>
        <rFont val="Arial"/>
        <family val="2"/>
      </rPr>
      <t xml:space="preserve"> [P]</t>
    </r>
  </si>
  <si>
    <r>
      <t xml:space="preserve">Pokémon Scarlet - </t>
    </r>
    <r>
      <rPr>
        <b/>
        <sz val="11"/>
        <color theme="1"/>
        <rFont val="Arial"/>
        <family val="2"/>
      </rPr>
      <t>[P]</t>
    </r>
  </si>
  <si>
    <r>
      <t xml:space="preserve">The House of the Dead: Remake - </t>
    </r>
    <r>
      <rPr>
        <b/>
        <sz val="11"/>
        <color theme="1"/>
        <rFont val="Arial"/>
        <family val="2"/>
      </rPr>
      <t>[P]</t>
    </r>
  </si>
  <si>
    <r>
      <t xml:space="preserve">Nintendo Switch Sports - </t>
    </r>
    <r>
      <rPr>
        <b/>
        <sz val="11"/>
        <color theme="1"/>
        <rFont val="Arial"/>
        <family val="2"/>
      </rPr>
      <t>[P]</t>
    </r>
  </si>
  <si>
    <t>Diablo III: Eternal Collection</t>
  </si>
  <si>
    <t>LEGO The Hobbit</t>
  </si>
  <si>
    <t>Rocket League</t>
  </si>
  <si>
    <t>Vencer o torneio</t>
  </si>
  <si>
    <r>
      <t xml:space="preserve">Tomb Raider 2013 </t>
    </r>
    <r>
      <rPr>
        <b/>
        <sz val="11"/>
        <color theme="1"/>
        <rFont val="Arial"/>
        <family val="2"/>
      </rPr>
      <t>(2)</t>
    </r>
  </si>
  <si>
    <t>Battlefield 4</t>
  </si>
  <si>
    <t>Resident Evil 2</t>
  </si>
  <si>
    <t>Injustice: Gods Among Us - Ultimate Edition</t>
  </si>
  <si>
    <t>The Order: 1886</t>
  </si>
  <si>
    <t>Marvel vs. Capcom: Infinite</t>
  </si>
  <si>
    <t>Infamous: First Light</t>
  </si>
  <si>
    <t>Conquistar todos troféus</t>
  </si>
  <si>
    <t>The Walking Dead: The Complete First Season</t>
  </si>
  <si>
    <t>The Walking Dead: Season Two</t>
  </si>
  <si>
    <t>Metal Slug 3</t>
  </si>
  <si>
    <t>Captain America: Super Soldier</t>
  </si>
  <si>
    <t>Counter-Strike: Global Offensive</t>
  </si>
  <si>
    <r>
      <t xml:space="preserve">Diablo III: Eternal Collection </t>
    </r>
    <r>
      <rPr>
        <b/>
        <sz val="11"/>
        <color theme="1"/>
        <rFont val="Arial"/>
        <family val="2"/>
      </rPr>
      <t>(1)</t>
    </r>
  </si>
  <si>
    <t>Diablo III: Reaper of Souls</t>
  </si>
  <si>
    <t>Dragon Ball Z: Budokai HD Collection</t>
  </si>
  <si>
    <t>FIFA 14</t>
  </si>
  <si>
    <t>FIFA 18</t>
  </si>
  <si>
    <t>FIFA 17</t>
  </si>
  <si>
    <t>God of War II</t>
  </si>
  <si>
    <t>God of War: Ghost of Sparta</t>
  </si>
  <si>
    <t>God of War: Chains of Olympus</t>
  </si>
  <si>
    <t>God of War III</t>
  </si>
  <si>
    <r>
      <t xml:space="preserve">Grand Theft Auto V </t>
    </r>
    <r>
      <rPr>
        <b/>
        <sz val="11"/>
        <color theme="1"/>
        <rFont val="Arial"/>
        <family val="2"/>
      </rPr>
      <t>(1)</t>
    </r>
  </si>
  <si>
    <t>Green Lantern: Rise of the Manhunters</t>
  </si>
  <si>
    <t>Kung Fu Panda 2</t>
  </si>
  <si>
    <t>Ben 10: Galactic Racing</t>
  </si>
  <si>
    <t>LEGO Batman 2: DC Super Heroes</t>
  </si>
  <si>
    <t>LEGO Harry Potter: Years 5-7 - PS Vita Edition</t>
  </si>
  <si>
    <t>LEGO The Lord of the Rings - PS Vita Edition</t>
  </si>
  <si>
    <t>Madagascar 3: The Video Game</t>
  </si>
  <si>
    <r>
      <t xml:space="preserve">Ben 10: Omniverse 2 - </t>
    </r>
    <r>
      <rPr>
        <b/>
        <sz val="11"/>
        <color theme="1"/>
        <rFont val="Arial"/>
        <family val="2"/>
      </rPr>
      <t>[P]</t>
    </r>
  </si>
  <si>
    <r>
      <t xml:space="preserve">Ben 10: Omniverse - </t>
    </r>
    <r>
      <rPr>
        <b/>
        <sz val="11"/>
        <color theme="1"/>
        <rFont val="Arial"/>
        <family val="2"/>
      </rPr>
      <t>[P]</t>
    </r>
  </si>
  <si>
    <r>
      <t xml:space="preserve">Megamind: Ultimate Showdown - </t>
    </r>
    <r>
      <rPr>
        <b/>
        <sz val="11"/>
        <color theme="1"/>
        <rFont val="Arial"/>
        <family val="2"/>
      </rPr>
      <t>[P]</t>
    </r>
  </si>
  <si>
    <t>PlayStation All-Stars Battle Royale</t>
  </si>
  <si>
    <r>
      <t xml:space="preserve">PlayStation All-Stars Battle Royale </t>
    </r>
    <r>
      <rPr>
        <b/>
        <sz val="11"/>
        <color theme="1"/>
        <rFont val="Arial"/>
        <family val="2"/>
      </rPr>
      <t>(1)</t>
    </r>
  </si>
  <si>
    <t>Prototype 2</t>
  </si>
  <si>
    <t>Puss in Boots</t>
  </si>
  <si>
    <t>Rango</t>
  </si>
  <si>
    <t>Resistance: Burning Skies</t>
  </si>
  <si>
    <t>Shrek Forever After</t>
  </si>
  <si>
    <t>Terminar todos os jogos</t>
  </si>
  <si>
    <t>Sonic's Ultimate Genesis Collection</t>
  </si>
  <si>
    <t>Terminator Salvation</t>
  </si>
  <si>
    <t>The Smurfs 2</t>
  </si>
  <si>
    <r>
      <t xml:space="preserve">Tomb Raider 2013 </t>
    </r>
    <r>
      <rPr>
        <b/>
        <sz val="11"/>
        <color theme="1"/>
        <rFont val="Arial"/>
        <family val="2"/>
      </rPr>
      <t>(3)</t>
    </r>
  </si>
  <si>
    <r>
      <t xml:space="preserve">Hitman: Absolution </t>
    </r>
    <r>
      <rPr>
        <b/>
        <sz val="11"/>
        <color theme="1"/>
        <rFont val="Arial"/>
        <family val="2"/>
      </rPr>
      <t>(1)</t>
    </r>
  </si>
  <si>
    <r>
      <t xml:space="preserve">Ben 10: Galactic Racing </t>
    </r>
    <r>
      <rPr>
        <b/>
        <sz val="11"/>
        <color theme="1"/>
        <rFont val="Arial"/>
        <family val="2"/>
      </rPr>
      <t>(1)</t>
    </r>
  </si>
  <si>
    <t>Nintendo</t>
  </si>
  <si>
    <t>Sony</t>
  </si>
  <si>
    <t>Xbox</t>
  </si>
  <si>
    <t>Outros</t>
  </si>
  <si>
    <t>LEGO Batman: The Videogame</t>
  </si>
  <si>
    <r>
      <t xml:space="preserve">LEGO Harry Potter: Years 5-7 - </t>
    </r>
    <r>
      <rPr>
        <b/>
        <sz val="11"/>
        <color theme="1"/>
        <rFont val="Arial"/>
        <family val="2"/>
      </rPr>
      <t>[D]</t>
    </r>
  </si>
  <si>
    <t>LEGO The Lord of the Rings</t>
  </si>
  <si>
    <r>
      <t xml:space="preserve">LEGO Harry Potter: Years 1-4 - </t>
    </r>
    <r>
      <rPr>
        <b/>
        <sz val="11"/>
        <color theme="1"/>
        <rFont val="Arial"/>
        <family val="2"/>
      </rPr>
      <t>[D]</t>
    </r>
  </si>
  <si>
    <r>
      <t xml:space="preserve">LEGO Marvel Super Heroes </t>
    </r>
    <r>
      <rPr>
        <b/>
        <sz val="11"/>
        <color theme="1"/>
        <rFont val="Arial"/>
        <family val="2"/>
      </rPr>
      <t>(1)</t>
    </r>
  </si>
  <si>
    <t>LEGO Marvel Super Heroes 2</t>
  </si>
  <si>
    <t>LEGO Harry Potter: Years 1-4 - DS Edition</t>
  </si>
  <si>
    <t>LEGO Marvel Super Heroes</t>
  </si>
  <si>
    <t>Jogos</t>
  </si>
  <si>
    <t>Horas</t>
  </si>
  <si>
    <t>Com o Pedro</t>
  </si>
  <si>
    <t>Com a Diana</t>
  </si>
  <si>
    <t>X 360</t>
  </si>
  <si>
    <r>
      <t xml:space="preserve">Banjo Tooie </t>
    </r>
    <r>
      <rPr>
        <b/>
        <sz val="11"/>
        <color theme="1"/>
        <rFont val="Arial"/>
        <family val="2"/>
      </rPr>
      <t>(1)</t>
    </r>
  </si>
  <si>
    <t>Grand Theft Auto IV</t>
  </si>
  <si>
    <r>
      <t xml:space="preserve">Hitman: Absolution </t>
    </r>
    <r>
      <rPr>
        <b/>
        <sz val="11"/>
        <color theme="1"/>
        <rFont val="Arial"/>
        <family val="2"/>
      </rPr>
      <t>(2)</t>
    </r>
  </si>
  <si>
    <t>Grand Theft Auto V: Special Edition</t>
  </si>
  <si>
    <t>Diablo III</t>
  </si>
  <si>
    <r>
      <t xml:space="preserve">Resident Evil 4 </t>
    </r>
    <r>
      <rPr>
        <b/>
        <sz val="11"/>
        <color theme="1"/>
        <rFont val="Arial"/>
        <family val="2"/>
      </rPr>
      <t>(1)</t>
    </r>
  </si>
  <si>
    <t>SoulCalibur V</t>
  </si>
  <si>
    <t>Doki-Doki Universe</t>
  </si>
  <si>
    <t>Trine 2</t>
  </si>
  <si>
    <t>Altered Beast</t>
  </si>
  <si>
    <t>Dragon Fantasy: Book II</t>
  </si>
  <si>
    <t>Mortal Kombat</t>
  </si>
  <si>
    <t>Metal Slug: Super Vehicle - 001</t>
  </si>
  <si>
    <t>Metal Slug X</t>
  </si>
  <si>
    <t>Ultra Street Fighter II The Final Challengers</t>
  </si>
  <si>
    <t>Dragon Ball: Advanced Adventure</t>
  </si>
  <si>
    <t>Resident Evil: The Darkside Chronicles</t>
  </si>
  <si>
    <t>Super Bomberman R</t>
  </si>
  <si>
    <r>
      <t xml:space="preserve">Super Bomberman R - </t>
    </r>
    <r>
      <rPr>
        <b/>
        <sz val="11"/>
        <color theme="1"/>
        <rFont val="Arial"/>
        <family val="2"/>
      </rPr>
      <t>[P]</t>
    </r>
  </si>
  <si>
    <t>Mario Tennis 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</si>
</sst>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[h]:mm:ss;@"/>
    <numFmt numFmtId="166" formatCode="[hh]:mm:ss;@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9"/>
      <color indexed="81"/>
      <name val="Segoe UI"/>
      <family val="2"/>
    </font>
    <font>
      <b/>
      <sz val="12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  <font>
      <b/>
      <sz val="11"/>
      <color rgb="FFC00000"/>
      <name val="Arial"/>
      <family val="2"/>
    </font>
    <font>
      <b/>
      <sz val="11"/>
      <color rgb="FF990033"/>
      <name val="Arial"/>
      <family val="2"/>
    </font>
    <font>
      <b/>
      <sz val="11"/>
      <color theme="9" tint="-0.249977111117893"/>
      <name val="Arial"/>
      <family val="2"/>
    </font>
    <font>
      <sz val="9"/>
      <color indexed="81"/>
      <name val="Segoe UI"/>
      <charset val="1"/>
    </font>
    <font>
      <b/>
      <sz val="11"/>
      <color theme="8" tint="-0.249977111117893"/>
      <name val="Arial"/>
      <family val="2"/>
    </font>
    <font>
      <b/>
      <sz val="11"/>
      <color rgb="FFFF5050"/>
      <name val="Arial"/>
      <family val="2"/>
    </font>
    <font>
      <b/>
      <sz val="11"/>
      <color theme="5" tint="-0.249977111117893"/>
      <name val="Arial"/>
      <family val="2"/>
    </font>
    <font>
      <b/>
      <sz val="11"/>
      <color rgb="FF00B050"/>
      <name val="Arial"/>
      <family val="2"/>
    </font>
    <font>
      <b/>
      <sz val="11"/>
      <color theme="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/>
    <xf numFmtId="0" fontId="4" fillId="3" borderId="4" xfId="0" applyFont="1" applyFill="1" applyBorder="1" applyAlignment="1">
      <alignment horizontal="center"/>
    </xf>
    <xf numFmtId="0" fontId="3" fillId="0" borderId="5" xfId="0" applyFont="1" applyBorder="1"/>
    <xf numFmtId="0" fontId="4" fillId="3" borderId="6" xfId="0" applyFont="1" applyFill="1" applyBorder="1"/>
    <xf numFmtId="0" fontId="4" fillId="3" borderId="7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8" xfId="0" applyFont="1" applyBorder="1"/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4" fillId="3" borderId="1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/>
    <xf numFmtId="0" fontId="6" fillId="4" borderId="1" xfId="0" applyFont="1" applyFill="1" applyBorder="1" applyAlignment="1">
      <alignment horizontal="left"/>
    </xf>
    <xf numFmtId="166" fontId="3" fillId="2" borderId="1" xfId="0" applyNumberFormat="1" applyFont="1" applyFill="1" applyBorder="1" applyAlignment="1">
      <alignment horizontal="center"/>
    </xf>
    <xf numFmtId="166" fontId="3" fillId="0" borderId="0" xfId="0" applyNumberFormat="1" applyFont="1"/>
    <xf numFmtId="164" fontId="3" fillId="4" borderId="1" xfId="0" applyNumberFormat="1" applyFont="1" applyFill="1" applyBorder="1" applyAlignment="1">
      <alignment horizontal="center"/>
    </xf>
    <xf numFmtId="0" fontId="3" fillId="4" borderId="0" xfId="0" applyFont="1" applyFill="1"/>
    <xf numFmtId="0" fontId="12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166" fontId="2" fillId="9" borderId="1" xfId="0" applyNumberFormat="1" applyFont="1" applyFill="1" applyBorder="1" applyAlignment="1">
      <alignment horizontal="center"/>
    </xf>
    <xf numFmtId="9" fontId="2" fillId="9" borderId="1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66" fontId="0" fillId="0" borderId="0" xfId="0" applyNumberFormat="1"/>
    <xf numFmtId="0" fontId="2" fillId="10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left"/>
    </xf>
    <xf numFmtId="165" fontId="4" fillId="3" borderId="21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left"/>
    </xf>
    <xf numFmtId="0" fontId="4" fillId="3" borderId="2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left"/>
    </xf>
    <xf numFmtId="0" fontId="13" fillId="10" borderId="1" xfId="0" applyFont="1" applyFill="1" applyBorder="1" applyAlignment="1">
      <alignment horizontal="left"/>
    </xf>
    <xf numFmtId="0" fontId="4" fillId="10" borderId="16" xfId="0" applyFont="1" applyFill="1" applyBorder="1" applyAlignment="1">
      <alignment horizontal="left"/>
    </xf>
    <xf numFmtId="0" fontId="4" fillId="10" borderId="19" xfId="0" applyFont="1" applyFill="1" applyBorder="1" applyAlignment="1">
      <alignment horizontal="center"/>
    </xf>
    <xf numFmtId="9" fontId="13" fillId="10" borderId="1" xfId="0" applyNumberFormat="1" applyFont="1" applyFill="1" applyBorder="1" applyAlignment="1">
      <alignment horizontal="left"/>
    </xf>
    <xf numFmtId="9" fontId="11" fillId="10" borderId="1" xfId="0" applyNumberFormat="1" applyFont="1" applyFill="1" applyBorder="1" applyAlignment="1">
      <alignment horizontal="left"/>
    </xf>
    <xf numFmtId="0" fontId="3" fillId="0" borderId="15" xfId="0" applyFont="1" applyBorder="1"/>
    <xf numFmtId="0" fontId="4" fillId="3" borderId="22" xfId="0" applyFont="1" applyFill="1" applyBorder="1" applyAlignment="1">
      <alignment horizontal="center"/>
    </xf>
    <xf numFmtId="0" fontId="4" fillId="3" borderId="20" xfId="0" applyFont="1" applyFill="1" applyBorder="1"/>
    <xf numFmtId="0" fontId="3" fillId="10" borderId="0" xfId="0" applyFont="1" applyFill="1"/>
    <xf numFmtId="0" fontId="10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4" fillId="10" borderId="23" xfId="0" applyFont="1" applyFill="1" applyBorder="1" applyAlignment="1">
      <alignment horizontal="left"/>
    </xf>
    <xf numFmtId="0" fontId="4" fillId="10" borderId="23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left"/>
    </xf>
    <xf numFmtId="0" fontId="2" fillId="11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left"/>
    </xf>
    <xf numFmtId="165" fontId="2" fillId="10" borderId="24" xfId="0" applyNumberFormat="1" applyFont="1" applyFill="1" applyBorder="1" applyAlignment="1">
      <alignment horizontal="right"/>
    </xf>
    <xf numFmtId="165" fontId="2" fillId="10" borderId="18" xfId="0" applyNumberFormat="1" applyFont="1" applyFill="1" applyBorder="1" applyAlignment="1">
      <alignment horizontal="right"/>
    </xf>
    <xf numFmtId="165" fontId="2" fillId="11" borderId="24" xfId="0" applyNumberFormat="1" applyFont="1" applyFill="1" applyBorder="1" applyAlignment="1">
      <alignment horizontal="right"/>
    </xf>
    <xf numFmtId="165" fontId="2" fillId="11" borderId="18" xfId="0" applyNumberFormat="1" applyFont="1" applyFill="1" applyBorder="1" applyAlignment="1">
      <alignment horizontal="right"/>
    </xf>
    <xf numFmtId="165" fontId="4" fillId="3" borderId="17" xfId="0" applyNumberFormat="1" applyFont="1" applyFill="1" applyBorder="1" applyAlignment="1">
      <alignment horizontal="center"/>
    </xf>
    <xf numFmtId="165" fontId="4" fillId="3" borderId="18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1">
    <cellStyle name="Normal" xfId="0" builtinId="0"/>
  </cellStyles>
  <dxfs count="25"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7030A0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7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solid">
          <bgColor theme="0"/>
        </patternFill>
      </fill>
    </dxf>
    <dxf>
      <font>
        <b/>
        <i val="0"/>
        <color theme="9"/>
      </font>
      <fill>
        <patternFill>
          <bgColor theme="0"/>
        </patternFill>
      </fill>
    </dxf>
    <dxf>
      <font>
        <b/>
        <i val="0"/>
        <color rgb="FFC00000"/>
      </font>
    </dxf>
    <dxf>
      <font>
        <b/>
        <i val="0"/>
        <color theme="7" tint="-0.24994659260841701"/>
      </font>
    </dxf>
    <dxf>
      <font>
        <b/>
        <i val="0"/>
        <color theme="9" tint="-0.24994659260841701"/>
      </font>
    </dxf>
    <dxf>
      <font>
        <b/>
        <i val="0"/>
        <color rgb="FF0070C0"/>
      </font>
    </dxf>
    <dxf>
      <font>
        <b/>
        <i val="0"/>
        <color theme="5"/>
      </font>
    </dxf>
    <dxf>
      <font>
        <b/>
        <i val="0"/>
        <color theme="7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990033"/>
      <color rgb="FFFF5050"/>
      <color rgb="FFFF9966"/>
      <color rgb="FFFF7C80"/>
      <color rgb="FF00FFFF"/>
      <color rgb="FF66FFFF"/>
      <color rgb="FFDDDDDD"/>
      <color rgb="FFF7DBF4"/>
      <color rgb="FF6666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25DD-53CB-4EA3-A3B8-3A7AE8C9FFFE}">
  <dimension ref="A1:CK392"/>
  <sheetViews>
    <sheetView showGridLines="0" tabSelected="1" zoomScaleNormal="100" workbookViewId="0">
      <pane ySplit="1" topLeftCell="A2" activePane="bottomLeft" state="frozen"/>
      <selection pane="bottomLeft" activeCell="Y25" sqref="Y25"/>
    </sheetView>
  </sheetViews>
  <sheetFormatPr defaultColWidth="9.140625" defaultRowHeight="14.25" x14ac:dyDescent="0.2"/>
  <cols>
    <col min="1" max="1" width="6.28515625" style="31" bestFit="1" customWidth="1"/>
    <col min="2" max="2" width="57.7109375" style="3" bestFit="1" customWidth="1"/>
    <col min="3" max="3" width="11.7109375" style="3" bestFit="1" customWidth="1"/>
    <col min="4" max="4" width="9.5703125" style="3" bestFit="1" customWidth="1"/>
    <col min="5" max="5" width="12.5703125" style="3" bestFit="1" customWidth="1"/>
    <col min="6" max="6" width="11.28515625" style="3" bestFit="1" customWidth="1"/>
    <col min="7" max="7" width="10.140625" style="29" bestFit="1" customWidth="1"/>
    <col min="8" max="8" width="3.28515625" style="3" bestFit="1" customWidth="1"/>
    <col min="9" max="9" width="12.42578125" style="3" bestFit="1" customWidth="1"/>
    <col min="10" max="10" width="26.7109375" style="3" bestFit="1" customWidth="1"/>
    <col min="11" max="11" width="6.28515625" style="3" bestFit="1" customWidth="1"/>
    <col min="12" max="12" width="1.7109375" style="3" customWidth="1"/>
    <col min="13" max="13" width="14.85546875" style="3" bestFit="1" customWidth="1"/>
    <col min="14" max="14" width="7.140625" style="3" bestFit="1" customWidth="1"/>
    <col min="15" max="15" width="1.7109375" style="3" customWidth="1"/>
    <col min="16" max="16" width="11.7109375" style="3" bestFit="1" customWidth="1"/>
    <col min="17" max="17" width="4.42578125" style="3" bestFit="1" customWidth="1"/>
    <col min="18" max="18" width="1.7109375" style="3" customWidth="1"/>
    <col min="19" max="19" width="10.28515625" style="3" bestFit="1" customWidth="1"/>
    <col min="20" max="20" width="4.42578125" style="3" bestFit="1" customWidth="1"/>
    <col min="21" max="21" width="1.7109375" style="3" customWidth="1"/>
    <col min="22" max="22" width="14.42578125" style="3" bestFit="1" customWidth="1"/>
    <col min="23" max="23" width="4.42578125" style="3" bestFit="1" customWidth="1"/>
    <col min="24" max="16384" width="9.140625" style="3"/>
  </cols>
  <sheetData>
    <row r="1" spans="1:89" ht="15" x14ac:dyDescent="0.25">
      <c r="A1" s="34"/>
      <c r="B1" s="34" t="s">
        <v>1</v>
      </c>
      <c r="C1" s="34" t="s">
        <v>21</v>
      </c>
      <c r="D1" s="34" t="s">
        <v>226</v>
      </c>
      <c r="E1" s="34" t="s">
        <v>2</v>
      </c>
      <c r="F1" s="34" t="s">
        <v>3</v>
      </c>
      <c r="G1" s="35" t="s">
        <v>4</v>
      </c>
      <c r="H1" s="34" t="s">
        <v>289</v>
      </c>
      <c r="I1" s="34" t="s">
        <v>5</v>
      </c>
      <c r="J1" s="34" t="s">
        <v>11</v>
      </c>
      <c r="K1" s="36">
        <v>1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</row>
    <row r="2" spans="1:89" ht="15" customHeight="1" x14ac:dyDescent="0.25">
      <c r="A2"/>
      <c r="B2"/>
      <c r="C2"/>
      <c r="D2"/>
      <c r="E2"/>
      <c r="F2"/>
      <c r="G2" s="40"/>
      <c r="H2"/>
      <c r="I2"/>
      <c r="J2"/>
      <c r="K2"/>
    </row>
    <row r="3" spans="1:89" ht="15" x14ac:dyDescent="0.25">
      <c r="A3" s="30"/>
      <c r="B3" s="6"/>
      <c r="C3" s="1"/>
      <c r="D3" s="1"/>
      <c r="E3" s="1"/>
      <c r="F3" s="5"/>
      <c r="G3" s="28"/>
      <c r="H3" s="1"/>
      <c r="I3" s="1"/>
      <c r="J3" s="4"/>
      <c r="K3" s="1"/>
      <c r="M3" s="17" t="s">
        <v>40</v>
      </c>
      <c r="N3" s="18" t="s">
        <v>0</v>
      </c>
      <c r="P3" s="37" t="s">
        <v>21</v>
      </c>
      <c r="Q3" s="38" t="s">
        <v>0</v>
      </c>
      <c r="S3" s="37" t="s">
        <v>226</v>
      </c>
      <c r="T3" s="38" t="s">
        <v>0</v>
      </c>
      <c r="V3" s="17" t="s">
        <v>2</v>
      </c>
      <c r="W3" s="18" t="s">
        <v>0</v>
      </c>
    </row>
    <row r="4" spans="1:89" ht="15" x14ac:dyDescent="0.25">
      <c r="A4" s="30">
        <v>386</v>
      </c>
      <c r="B4" s="6" t="s">
        <v>514</v>
      </c>
      <c r="C4" s="1" t="s">
        <v>342</v>
      </c>
      <c r="D4" s="1" t="s">
        <v>341</v>
      </c>
      <c r="E4" s="1" t="s">
        <v>29</v>
      </c>
      <c r="F4" s="5">
        <v>46307</v>
      </c>
      <c r="G4" s="28">
        <v>0.31041666666666667</v>
      </c>
      <c r="H4" s="1">
        <v>4</v>
      </c>
      <c r="I4" s="1" t="s">
        <v>34</v>
      </c>
      <c r="J4" s="4" t="s">
        <v>36</v>
      </c>
      <c r="K4" s="1" t="s">
        <v>38</v>
      </c>
      <c r="M4" s="7" t="s">
        <v>198</v>
      </c>
      <c r="N4" s="63">
        <f>COUNTIF(H:H,11)</f>
        <v>16</v>
      </c>
      <c r="P4" s="2" t="s">
        <v>20</v>
      </c>
      <c r="Q4" s="15">
        <f>COUNTIF(C:C,"PC")</f>
        <v>86</v>
      </c>
      <c r="S4" s="2" t="s">
        <v>341</v>
      </c>
      <c r="T4" s="15">
        <f>COUNTIF(D:D,"Switch")</f>
        <v>62</v>
      </c>
      <c r="V4" s="73" t="s">
        <v>23</v>
      </c>
      <c r="W4" s="74">
        <f>COUNTIF(E:E,"RPG")</f>
        <v>116</v>
      </c>
    </row>
    <row r="5" spans="1:89" ht="15" x14ac:dyDescent="0.25">
      <c r="A5" s="30">
        <v>385</v>
      </c>
      <c r="B5" s="6" t="s">
        <v>513</v>
      </c>
      <c r="C5" s="1" t="s">
        <v>342</v>
      </c>
      <c r="D5" s="1" t="s">
        <v>341</v>
      </c>
      <c r="E5" s="1" t="s">
        <v>120</v>
      </c>
      <c r="F5" s="5">
        <v>46289</v>
      </c>
      <c r="G5" s="28">
        <v>0.14583333333333334</v>
      </c>
      <c r="H5" s="1">
        <v>7</v>
      </c>
      <c r="I5" s="1" t="s">
        <v>32</v>
      </c>
      <c r="J5" s="4" t="s">
        <v>36</v>
      </c>
      <c r="K5" s="1" t="s">
        <v>38</v>
      </c>
      <c r="M5" s="2" t="s">
        <v>41</v>
      </c>
      <c r="N5" s="64">
        <f>COUNTIF(H:H,10)</f>
        <v>58</v>
      </c>
      <c r="P5" s="2" t="s">
        <v>343</v>
      </c>
      <c r="Q5" s="15">
        <f>COUNTIF(C:C,"3DS")</f>
        <v>48</v>
      </c>
      <c r="S5" s="2" t="s">
        <v>20</v>
      </c>
      <c r="T5" s="15">
        <f>COUNTIF(D:D,"PC")</f>
        <v>60</v>
      </c>
      <c r="V5" s="68" t="s">
        <v>22</v>
      </c>
      <c r="W5" s="69">
        <f>COUNTIF(E:E,"Ação")</f>
        <v>51</v>
      </c>
    </row>
    <row r="6" spans="1:89" ht="15" x14ac:dyDescent="0.25">
      <c r="A6" s="30">
        <v>384</v>
      </c>
      <c r="B6" s="6" t="s">
        <v>508</v>
      </c>
      <c r="C6" s="1" t="s">
        <v>355</v>
      </c>
      <c r="D6" s="1" t="s">
        <v>360</v>
      </c>
      <c r="E6" s="1" t="s">
        <v>65</v>
      </c>
      <c r="F6" s="5">
        <v>46286</v>
      </c>
      <c r="G6" s="28">
        <v>4.1666666666666664E-2</v>
      </c>
      <c r="H6" s="1">
        <v>7</v>
      </c>
      <c r="I6" s="1" t="s">
        <v>32</v>
      </c>
      <c r="J6" s="4" t="s">
        <v>36</v>
      </c>
      <c r="K6" s="1" t="s">
        <v>37</v>
      </c>
      <c r="M6" s="2" t="s">
        <v>42</v>
      </c>
      <c r="N6" s="64">
        <f>COUNTIF(H:H,9)</f>
        <v>64</v>
      </c>
      <c r="P6" s="2" t="s">
        <v>341</v>
      </c>
      <c r="Q6" s="15">
        <f>COUNTIF(C:C,"Switch")</f>
        <v>41</v>
      </c>
      <c r="S6" s="2" t="s">
        <v>344</v>
      </c>
      <c r="T6" s="15">
        <f>COUNTIF(D:D,"PS4")</f>
        <v>36</v>
      </c>
      <c r="V6" s="41" t="s">
        <v>21</v>
      </c>
      <c r="W6" s="42">
        <f>COUNTIF(E:E,"Plataforma")</f>
        <v>47</v>
      </c>
    </row>
    <row r="7" spans="1:89" ht="15" x14ac:dyDescent="0.25">
      <c r="A7" s="30">
        <f>ROWS(B7:B$389)</f>
        <v>383</v>
      </c>
      <c r="B7" s="6" t="s">
        <v>507</v>
      </c>
      <c r="C7" s="1" t="s">
        <v>156</v>
      </c>
      <c r="D7" s="1" t="s">
        <v>156</v>
      </c>
      <c r="E7" s="1" t="s">
        <v>65</v>
      </c>
      <c r="F7" s="5">
        <v>46285</v>
      </c>
      <c r="G7" s="28">
        <v>4.1666666666666664E-2</v>
      </c>
      <c r="H7" s="1">
        <v>6</v>
      </c>
      <c r="I7" s="1" t="s">
        <v>32</v>
      </c>
      <c r="J7" s="4" t="s">
        <v>36</v>
      </c>
      <c r="K7" s="1" t="s">
        <v>37</v>
      </c>
      <c r="M7" s="2" t="s">
        <v>43</v>
      </c>
      <c r="N7" s="64">
        <f>COUNTIF(H:H,8)</f>
        <v>90</v>
      </c>
      <c r="P7" s="2" t="s">
        <v>344</v>
      </c>
      <c r="Q7" s="15">
        <f>COUNTIF(C:C,"PS4")</f>
        <v>36</v>
      </c>
      <c r="S7" s="2" t="s">
        <v>343</v>
      </c>
      <c r="T7" s="15">
        <f>COUNTIF(D:D,"3DS")</f>
        <v>34</v>
      </c>
      <c r="V7" s="68" t="s">
        <v>27</v>
      </c>
      <c r="W7" s="69">
        <f>COUNTIF(E:E,"Aventura")</f>
        <v>39</v>
      </c>
    </row>
    <row r="8" spans="1:89" ht="15" x14ac:dyDescent="0.25">
      <c r="A8" s="30">
        <f>ROWS(B8:B$389)</f>
        <v>382</v>
      </c>
      <c r="B8" s="6" t="s">
        <v>406</v>
      </c>
      <c r="C8" s="1" t="s">
        <v>342</v>
      </c>
      <c r="D8" s="1" t="s">
        <v>341</v>
      </c>
      <c r="E8" s="1" t="s">
        <v>30</v>
      </c>
      <c r="F8" s="5">
        <v>46283</v>
      </c>
      <c r="G8" s="28">
        <v>6.8750000000000006E-2</v>
      </c>
      <c r="H8" s="1">
        <v>7</v>
      </c>
      <c r="I8" s="1" t="s">
        <v>32</v>
      </c>
      <c r="J8" s="4" t="s">
        <v>71</v>
      </c>
      <c r="K8" s="1" t="s">
        <v>38</v>
      </c>
      <c r="L8" s="16"/>
      <c r="M8" s="2" t="s">
        <v>44</v>
      </c>
      <c r="N8" s="64">
        <f>COUNTIF(H:H,7)</f>
        <v>91</v>
      </c>
      <c r="P8" s="2" t="s">
        <v>342</v>
      </c>
      <c r="Q8" s="15">
        <f>COUNTIF(C:C,"Switch 2")</f>
        <v>34</v>
      </c>
      <c r="S8" s="2" t="s">
        <v>356</v>
      </c>
      <c r="T8" s="15">
        <f>COUNTIF(D:D,"PS3")</f>
        <v>31</v>
      </c>
      <c r="V8" s="41" t="s">
        <v>30</v>
      </c>
      <c r="W8" s="42">
        <f>COUNTIF(E:E,"Luta")</f>
        <v>22</v>
      </c>
    </row>
    <row r="9" spans="1:89" ht="15" x14ac:dyDescent="0.25">
      <c r="A9" s="30">
        <f>ROWS(B9:B$389)</f>
        <v>381</v>
      </c>
      <c r="B9" s="6" t="s">
        <v>405</v>
      </c>
      <c r="C9" s="1" t="s">
        <v>342</v>
      </c>
      <c r="D9" s="1" t="s">
        <v>341</v>
      </c>
      <c r="E9" s="1" t="s">
        <v>28</v>
      </c>
      <c r="F9" s="5">
        <v>46282</v>
      </c>
      <c r="G9" s="28">
        <v>0.1361111111111111</v>
      </c>
      <c r="H9" s="1">
        <v>7</v>
      </c>
      <c r="I9" s="1" t="s">
        <v>32</v>
      </c>
      <c r="J9" s="4" t="s">
        <v>36</v>
      </c>
      <c r="K9" s="1" t="s">
        <v>38</v>
      </c>
      <c r="M9" s="2" t="s">
        <v>45</v>
      </c>
      <c r="N9" s="64">
        <f>COUNTIF(H:H,6)</f>
        <v>37</v>
      </c>
      <c r="P9" s="2" t="s">
        <v>356</v>
      </c>
      <c r="Q9" s="15">
        <f>COUNTIF(C:C,"PS3")</f>
        <v>31</v>
      </c>
      <c r="S9" s="2" t="s">
        <v>345</v>
      </c>
      <c r="T9" s="15">
        <f>COUNTIF(D:D,"DS")</f>
        <v>23</v>
      </c>
      <c r="V9" s="68" t="s">
        <v>24</v>
      </c>
      <c r="W9" s="69">
        <f>COUNTIF(E:E,"Metroidvania")</f>
        <v>20</v>
      </c>
    </row>
    <row r="10" spans="1:89" ht="15" x14ac:dyDescent="0.25">
      <c r="A10" s="30">
        <f>ROWS(B10:B$389)</f>
        <v>380</v>
      </c>
      <c r="B10" s="6" t="s">
        <v>409</v>
      </c>
      <c r="C10" s="1" t="s">
        <v>342</v>
      </c>
      <c r="D10" s="1" t="s">
        <v>341</v>
      </c>
      <c r="E10" s="1" t="s">
        <v>87</v>
      </c>
      <c r="F10" s="5">
        <v>46278</v>
      </c>
      <c r="G10" s="28">
        <v>0.13472222222222222</v>
      </c>
      <c r="H10" s="1">
        <v>7</v>
      </c>
      <c r="I10" s="1" t="s">
        <v>32</v>
      </c>
      <c r="J10" s="4" t="s">
        <v>36</v>
      </c>
      <c r="K10" s="1" t="s">
        <v>38</v>
      </c>
      <c r="M10" s="2" t="s">
        <v>46</v>
      </c>
      <c r="N10" s="64">
        <f>COUNTIF(H:H,5)</f>
        <v>18</v>
      </c>
      <c r="P10" s="2" t="s">
        <v>345</v>
      </c>
      <c r="Q10" s="15">
        <f>COUNTIF(C:C,"DS")</f>
        <v>21</v>
      </c>
      <c r="S10" s="2" t="s">
        <v>350</v>
      </c>
      <c r="T10" s="15">
        <f>COUNTIF(D:D,"GBA")</f>
        <v>21</v>
      </c>
      <c r="V10" s="41" t="s">
        <v>65</v>
      </c>
      <c r="W10" s="42">
        <f>COUNTIF(E:E,"Tiro")</f>
        <v>17</v>
      </c>
    </row>
    <row r="11" spans="1:89" ht="15" x14ac:dyDescent="0.25">
      <c r="A11" s="30">
        <f>ROWS(B11:B$389)</f>
        <v>379</v>
      </c>
      <c r="B11" s="6" t="s">
        <v>403</v>
      </c>
      <c r="C11" s="1" t="s">
        <v>343</v>
      </c>
      <c r="D11" s="1" t="s">
        <v>345</v>
      </c>
      <c r="E11" s="1" t="s">
        <v>23</v>
      </c>
      <c r="F11" s="5">
        <v>46278</v>
      </c>
      <c r="G11" s="28">
        <v>0.72561342592592593</v>
      </c>
      <c r="H11" s="1">
        <v>7</v>
      </c>
      <c r="I11" s="1" t="s">
        <v>32</v>
      </c>
      <c r="J11" s="4" t="s">
        <v>36</v>
      </c>
      <c r="K11" s="1" t="s">
        <v>38</v>
      </c>
      <c r="M11" s="2" t="s">
        <v>47</v>
      </c>
      <c r="N11" s="64">
        <f>COUNTIF(H:H,4)</f>
        <v>8</v>
      </c>
      <c r="P11" s="2" t="s">
        <v>346</v>
      </c>
      <c r="Q11" s="15">
        <f>COUNTIF(C:C,"Wii")</f>
        <v>11</v>
      </c>
      <c r="S11" s="2" t="s">
        <v>348</v>
      </c>
      <c r="T11" s="15">
        <f>COUNTIF(D:D,"N64")</f>
        <v>17</v>
      </c>
      <c r="V11" s="68" t="s">
        <v>29</v>
      </c>
      <c r="W11" s="69">
        <f>COUNTIF(E:E,"Esporte")</f>
        <v>12</v>
      </c>
    </row>
    <row r="12" spans="1:89" ht="15" x14ac:dyDescent="0.25">
      <c r="A12" s="30">
        <f>ROWS(B12:B$389)</f>
        <v>378</v>
      </c>
      <c r="B12" s="6" t="s">
        <v>425</v>
      </c>
      <c r="C12" s="1" t="s">
        <v>342</v>
      </c>
      <c r="D12" s="1" t="s">
        <v>341</v>
      </c>
      <c r="E12" s="1" t="s">
        <v>29</v>
      </c>
      <c r="F12" s="5">
        <v>46276</v>
      </c>
      <c r="G12" s="28">
        <v>9.166666666666666E-2</v>
      </c>
      <c r="H12" s="1">
        <v>6</v>
      </c>
      <c r="I12" s="1" t="s">
        <v>33</v>
      </c>
      <c r="J12" s="4" t="s">
        <v>402</v>
      </c>
      <c r="K12" s="1" t="s">
        <v>38</v>
      </c>
      <c r="M12" s="2" t="s">
        <v>48</v>
      </c>
      <c r="N12" s="64">
        <f>COUNTIF(H:H,3)</f>
        <v>2</v>
      </c>
      <c r="P12" s="2" t="s">
        <v>347</v>
      </c>
      <c r="Q12" s="15">
        <f>COUNTIF(C:C,"SNES")</f>
        <v>11</v>
      </c>
      <c r="S12" s="2" t="s">
        <v>347</v>
      </c>
      <c r="T12" s="15">
        <f>COUNTIF(D:D,"SNES")</f>
        <v>13</v>
      </c>
      <c r="V12" s="41" t="s">
        <v>69</v>
      </c>
      <c r="W12" s="42">
        <f>COUNTIF(E:E,"Musical")</f>
        <v>11</v>
      </c>
    </row>
    <row r="13" spans="1:89" ht="15" x14ac:dyDescent="0.25">
      <c r="A13" s="30">
        <f>ROWS(B13:B$389)</f>
        <v>377</v>
      </c>
      <c r="B13" s="6" t="s">
        <v>400</v>
      </c>
      <c r="C13" s="1" t="s">
        <v>342</v>
      </c>
      <c r="D13" s="1" t="s">
        <v>342</v>
      </c>
      <c r="E13" s="1" t="s">
        <v>21</v>
      </c>
      <c r="F13" s="5">
        <v>46275</v>
      </c>
      <c r="G13" s="28">
        <v>0.38124999999999998</v>
      </c>
      <c r="H13" s="1">
        <v>8</v>
      </c>
      <c r="I13" s="1" t="s">
        <v>33</v>
      </c>
      <c r="J13" s="4" t="s">
        <v>36</v>
      </c>
      <c r="K13" s="1" t="s">
        <v>38</v>
      </c>
      <c r="M13" s="2" t="s">
        <v>49</v>
      </c>
      <c r="N13" s="64">
        <f>COUNTIF(H:H,2)</f>
        <v>1</v>
      </c>
      <c r="P13" s="2" t="s">
        <v>355</v>
      </c>
      <c r="Q13" s="15">
        <f>COUNTIF(C:C,"Vita")</f>
        <v>10</v>
      </c>
      <c r="S13" s="2" t="s">
        <v>360</v>
      </c>
      <c r="T13" s="15">
        <f>COUNTIF(D:D,"PS1")</f>
        <v>9</v>
      </c>
      <c r="V13" s="68" t="s">
        <v>87</v>
      </c>
      <c r="W13" s="69">
        <f>COUNTIF(E:E,"Beat Up")</f>
        <v>10</v>
      </c>
    </row>
    <row r="14" spans="1:89" ht="15" x14ac:dyDescent="0.25">
      <c r="A14" s="30">
        <f>ROWS(B14:B$389)</f>
        <v>376</v>
      </c>
      <c r="B14" s="6" t="s">
        <v>398</v>
      </c>
      <c r="C14" s="1" t="s">
        <v>343</v>
      </c>
      <c r="D14" s="1" t="s">
        <v>350</v>
      </c>
      <c r="E14" s="1" t="s">
        <v>23</v>
      </c>
      <c r="F14" s="5">
        <v>46263</v>
      </c>
      <c r="G14" s="28">
        <v>1.6666666666666667</v>
      </c>
      <c r="H14" s="1">
        <v>8</v>
      </c>
      <c r="I14" s="1" t="s">
        <v>32</v>
      </c>
      <c r="J14" s="4" t="s">
        <v>36</v>
      </c>
      <c r="K14" s="1" t="s">
        <v>38</v>
      </c>
      <c r="M14" s="19" t="s">
        <v>50</v>
      </c>
      <c r="N14" s="65">
        <f>COUNTIF(H:H,1)</f>
        <v>1</v>
      </c>
      <c r="P14" s="2" t="s">
        <v>494</v>
      </c>
      <c r="Q14" s="15">
        <f>COUNTIF(C:C,"X 360")</f>
        <v>8</v>
      </c>
      <c r="S14" s="2" t="s">
        <v>355</v>
      </c>
      <c r="T14" s="15">
        <f>COUNTIF(D:D,"Vita")</f>
        <v>8</v>
      </c>
      <c r="V14" s="41" t="s">
        <v>28</v>
      </c>
      <c r="W14" s="42">
        <f>COUNTIF(E:E,"Corrida")</f>
        <v>9</v>
      </c>
    </row>
    <row r="15" spans="1:89" ht="15" x14ac:dyDescent="0.25">
      <c r="A15" s="30">
        <f>ROWS(B15:B$389)</f>
        <v>375</v>
      </c>
      <c r="B15" s="6" t="s">
        <v>397</v>
      </c>
      <c r="C15" s="1" t="s">
        <v>342</v>
      </c>
      <c r="D15" s="1" t="s">
        <v>341</v>
      </c>
      <c r="E15" s="1" t="s">
        <v>23</v>
      </c>
      <c r="F15" s="5">
        <v>46257</v>
      </c>
      <c r="G15" s="28">
        <v>1.9708333333333334</v>
      </c>
      <c r="H15" s="1">
        <v>10</v>
      </c>
      <c r="I15" s="1" t="s">
        <v>32</v>
      </c>
      <c r="J15" s="4" t="s">
        <v>36</v>
      </c>
      <c r="K15" s="1" t="s">
        <v>37</v>
      </c>
      <c r="M15" s="13" t="s">
        <v>51</v>
      </c>
      <c r="N15" s="12">
        <f>SUM(N4:N14)</f>
        <v>386</v>
      </c>
      <c r="P15" s="2" t="s">
        <v>348</v>
      </c>
      <c r="Q15" s="15">
        <f>COUNTIF(C:C,"N64")</f>
        <v>7</v>
      </c>
      <c r="S15" s="2" t="s">
        <v>352</v>
      </c>
      <c r="T15" s="15">
        <f>COUNTIF(D:D,"GB")</f>
        <v>8</v>
      </c>
      <c r="V15" s="68" t="s">
        <v>120</v>
      </c>
      <c r="W15" s="69">
        <f>COUNTIF(E:E,"Puzzle")</f>
        <v>8</v>
      </c>
    </row>
    <row r="16" spans="1:89" ht="15" x14ac:dyDescent="0.25">
      <c r="A16" s="30">
        <f>ROWS(B16:B$389)</f>
        <v>374</v>
      </c>
      <c r="B16" s="6" t="s">
        <v>396</v>
      </c>
      <c r="C16" s="1" t="s">
        <v>343</v>
      </c>
      <c r="D16" s="1" t="s">
        <v>343</v>
      </c>
      <c r="E16" s="1" t="s">
        <v>23</v>
      </c>
      <c r="F16" s="5">
        <v>46243</v>
      </c>
      <c r="G16" s="28">
        <v>1.0965277777777778</v>
      </c>
      <c r="H16" s="1">
        <v>6</v>
      </c>
      <c r="I16" s="1" t="s">
        <v>32</v>
      </c>
      <c r="J16" s="4" t="s">
        <v>36</v>
      </c>
      <c r="K16" s="1" t="s">
        <v>37</v>
      </c>
      <c r="M16" s="10"/>
      <c r="N16" s="10"/>
      <c r="P16" s="2" t="s">
        <v>349</v>
      </c>
      <c r="Q16" s="15">
        <f>COUNTIF(C:C,"Wii U")</f>
        <v>7</v>
      </c>
      <c r="S16" s="2" t="s">
        <v>494</v>
      </c>
      <c r="T16" s="15">
        <f>COUNTIF(D:D,"X 360")</f>
        <v>8</v>
      </c>
      <c r="V16" s="41" t="s">
        <v>107</v>
      </c>
      <c r="W16" s="42">
        <f>COUNTIF(E:E,"Tabuleiro")</f>
        <v>7</v>
      </c>
    </row>
    <row r="17" spans="1:23" ht="15" x14ac:dyDescent="0.25">
      <c r="A17" s="30">
        <f>ROWS(B17:B$389)</f>
        <v>373</v>
      </c>
      <c r="B17" s="6" t="s">
        <v>394</v>
      </c>
      <c r="C17" s="1" t="s">
        <v>342</v>
      </c>
      <c r="D17" s="1" t="s">
        <v>341</v>
      </c>
      <c r="E17" s="1" t="s">
        <v>21</v>
      </c>
      <c r="F17" s="5">
        <v>46236</v>
      </c>
      <c r="G17" s="28">
        <v>0.64027777777777772</v>
      </c>
      <c r="H17" s="1">
        <v>8</v>
      </c>
      <c r="I17" s="1" t="s">
        <v>32</v>
      </c>
      <c r="J17" s="4" t="s">
        <v>395</v>
      </c>
      <c r="K17" s="1" t="s">
        <v>37</v>
      </c>
      <c r="M17" s="9" t="s">
        <v>5</v>
      </c>
      <c r="N17" s="18" t="s">
        <v>0</v>
      </c>
      <c r="P17" s="2" t="s">
        <v>350</v>
      </c>
      <c r="Q17" s="15">
        <f>COUNTIF(C:C,"GBA")</f>
        <v>6</v>
      </c>
      <c r="S17" s="2" t="s">
        <v>349</v>
      </c>
      <c r="T17" s="15">
        <f>COUNTIF(D:D,"Wii U")</f>
        <v>7</v>
      </c>
      <c r="V17" s="68" t="s">
        <v>157</v>
      </c>
      <c r="W17" s="69">
        <f>COUNTIF(E:E,"Simulador")</f>
        <v>6</v>
      </c>
    </row>
    <row r="18" spans="1:23" ht="15" x14ac:dyDescent="0.25">
      <c r="A18" s="30">
        <f>ROWS(B18:B$389)</f>
        <v>372</v>
      </c>
      <c r="B18" s="6" t="s">
        <v>391</v>
      </c>
      <c r="C18" s="1" t="s">
        <v>343</v>
      </c>
      <c r="D18" s="1" t="s">
        <v>343</v>
      </c>
      <c r="E18" s="1" t="s">
        <v>21</v>
      </c>
      <c r="F18" s="5">
        <v>46230</v>
      </c>
      <c r="G18" s="28">
        <v>0.53680555555555554</v>
      </c>
      <c r="H18" s="1">
        <v>8</v>
      </c>
      <c r="I18" s="1" t="s">
        <v>32</v>
      </c>
      <c r="J18" s="4" t="s">
        <v>36</v>
      </c>
      <c r="K18" s="1" t="s">
        <v>37</v>
      </c>
      <c r="M18" s="32" t="s">
        <v>52</v>
      </c>
      <c r="N18" s="66">
        <f>COUNTIF(I:I,"Hardcore")</f>
        <v>4</v>
      </c>
      <c r="P18" s="2" t="s">
        <v>351</v>
      </c>
      <c r="Q18" s="15">
        <f>COUNTIF(C:C,"X Series")</f>
        <v>6</v>
      </c>
      <c r="S18" s="2" t="s">
        <v>342</v>
      </c>
      <c r="T18" s="15">
        <f>COUNTIF(D:D,"Switch 2")</f>
        <v>7</v>
      </c>
      <c r="V18" s="41" t="s">
        <v>25</v>
      </c>
      <c r="W18" s="42">
        <f>COUNTIF(E:E,"Stealth")</f>
        <v>4</v>
      </c>
    </row>
    <row r="19" spans="1:23" ht="15" x14ac:dyDescent="0.25">
      <c r="A19" s="30">
        <f>ROWS(B19:B$389)</f>
        <v>371</v>
      </c>
      <c r="B19" s="6" t="s">
        <v>390</v>
      </c>
      <c r="C19" s="1" t="s">
        <v>342</v>
      </c>
      <c r="D19" s="1" t="s">
        <v>341</v>
      </c>
      <c r="E19" s="1" t="s">
        <v>21</v>
      </c>
      <c r="F19" s="5">
        <v>46227</v>
      </c>
      <c r="G19" s="28">
        <v>0.41666666666666669</v>
      </c>
      <c r="H19" s="1">
        <v>8</v>
      </c>
      <c r="I19" s="1" t="s">
        <v>32</v>
      </c>
      <c r="J19" s="4" t="s">
        <v>36</v>
      </c>
      <c r="K19" s="1" t="s">
        <v>37</v>
      </c>
      <c r="M19" s="33" t="s">
        <v>34</v>
      </c>
      <c r="N19" s="66">
        <f>COUNTIF(I:I,"Difícil")</f>
        <v>40</v>
      </c>
      <c r="P19" s="2" t="s">
        <v>352</v>
      </c>
      <c r="Q19" s="15">
        <f>COUNTIF(C:C,"GB")</f>
        <v>5</v>
      </c>
      <c r="S19" s="2" t="s">
        <v>346</v>
      </c>
      <c r="T19" s="15">
        <f>COUNTIF(D:D,"Wii")</f>
        <v>6</v>
      </c>
      <c r="V19" s="68" t="s">
        <v>177</v>
      </c>
      <c r="W19" s="69">
        <f>COUNTIF(E:E,"Sandbox")</f>
        <v>3</v>
      </c>
    </row>
    <row r="20" spans="1:23" ht="15" x14ac:dyDescent="0.25">
      <c r="A20" s="30">
        <f>ROWS(B20:B$389)</f>
        <v>370</v>
      </c>
      <c r="B20" s="6" t="s">
        <v>389</v>
      </c>
      <c r="C20" s="1" t="s">
        <v>342</v>
      </c>
      <c r="D20" s="1" t="s">
        <v>342</v>
      </c>
      <c r="E20" s="1" t="s">
        <v>21</v>
      </c>
      <c r="F20" s="5">
        <v>46210</v>
      </c>
      <c r="G20" s="28">
        <v>0.30277777777777776</v>
      </c>
      <c r="H20" s="1">
        <v>8</v>
      </c>
      <c r="I20" s="1" t="s">
        <v>34</v>
      </c>
      <c r="J20" s="4" t="s">
        <v>36</v>
      </c>
      <c r="K20" s="1" t="s">
        <v>37</v>
      </c>
      <c r="L20" s="8"/>
      <c r="M20" s="2" t="s">
        <v>32</v>
      </c>
      <c r="N20" s="66">
        <f>COUNTIF(I:I,"Médio")</f>
        <v>253</v>
      </c>
      <c r="P20" s="2" t="s">
        <v>360</v>
      </c>
      <c r="Q20" s="15">
        <f>COUNTIF(C:C,"PS1")</f>
        <v>5</v>
      </c>
      <c r="S20" s="2" t="s">
        <v>351</v>
      </c>
      <c r="T20" s="15">
        <f>COUNTIF(D:D,"X Series")</f>
        <v>6</v>
      </c>
      <c r="V20" s="75" t="s">
        <v>206</v>
      </c>
      <c r="W20" s="42">
        <f>COUNTIF(E:E,"Roguelike")</f>
        <v>2</v>
      </c>
    </row>
    <row r="21" spans="1:23" ht="15" x14ac:dyDescent="0.25">
      <c r="A21" s="30">
        <f>ROWS(B21:B$389)</f>
        <v>369</v>
      </c>
      <c r="B21" s="6" t="s">
        <v>388</v>
      </c>
      <c r="C21" s="1" t="s">
        <v>342</v>
      </c>
      <c r="D21" s="1" t="s">
        <v>342</v>
      </c>
      <c r="E21" s="1" t="s">
        <v>21</v>
      </c>
      <c r="F21" s="5">
        <v>46208</v>
      </c>
      <c r="G21" s="28">
        <v>0.83333333333333337</v>
      </c>
      <c r="H21" s="1">
        <v>9</v>
      </c>
      <c r="I21" s="1" t="s">
        <v>32</v>
      </c>
      <c r="J21" s="4" t="s">
        <v>36</v>
      </c>
      <c r="K21" s="1" t="s">
        <v>37</v>
      </c>
      <c r="M21" s="19" t="s">
        <v>33</v>
      </c>
      <c r="N21" s="67">
        <f>COUNTIF(I:I,"Fácil")</f>
        <v>89</v>
      </c>
      <c r="P21" s="2" t="s">
        <v>156</v>
      </c>
      <c r="Q21" s="15">
        <f>COUNTIF(C:C,"PSP")</f>
        <v>5</v>
      </c>
      <c r="S21" s="2" t="s">
        <v>354</v>
      </c>
      <c r="T21" s="15">
        <f>COUNTIF(D:D,"GBC")</f>
        <v>6</v>
      </c>
      <c r="V21" s="70" t="s">
        <v>185</v>
      </c>
      <c r="W21" s="71">
        <f>COUNTIF(E:E,"Pinball")</f>
        <v>2</v>
      </c>
    </row>
    <row r="22" spans="1:23" ht="15" x14ac:dyDescent="0.25">
      <c r="A22" s="30">
        <f>ROWS(B22:B$389)</f>
        <v>368</v>
      </c>
      <c r="B22" s="6" t="s">
        <v>387</v>
      </c>
      <c r="C22" s="1" t="s">
        <v>342</v>
      </c>
      <c r="D22" s="1" t="s">
        <v>341</v>
      </c>
      <c r="E22" s="1" t="s">
        <v>21</v>
      </c>
      <c r="F22" s="5">
        <v>46200</v>
      </c>
      <c r="G22" s="28">
        <v>0.45833333333333331</v>
      </c>
      <c r="H22" s="1">
        <v>8</v>
      </c>
      <c r="I22" s="1" t="s">
        <v>33</v>
      </c>
      <c r="J22" s="4" t="s">
        <v>36</v>
      </c>
      <c r="K22" s="1" t="s">
        <v>37</v>
      </c>
      <c r="L22" s="16"/>
      <c r="M22" s="13" t="s">
        <v>51</v>
      </c>
      <c r="N22" s="14">
        <f>SUM(N18:N21)</f>
        <v>386</v>
      </c>
      <c r="P22" s="2" t="s">
        <v>353</v>
      </c>
      <c r="Q22" s="15">
        <f>COUNTIF(C:C,"GC")</f>
        <v>4</v>
      </c>
      <c r="S22" s="2" t="s">
        <v>358</v>
      </c>
      <c r="T22" s="15">
        <f>COUNTIF(D:D,"PS2")</f>
        <v>6</v>
      </c>
      <c r="V22" s="11" t="s">
        <v>51</v>
      </c>
      <c r="W22" s="20">
        <f>SUM(W4:W21)</f>
        <v>386</v>
      </c>
    </row>
    <row r="23" spans="1:23" ht="15" x14ac:dyDescent="0.25">
      <c r="A23" s="30">
        <f>ROWS(B23:B$389)</f>
        <v>367</v>
      </c>
      <c r="B23" s="6" t="s">
        <v>386</v>
      </c>
      <c r="C23" s="1" t="s">
        <v>342</v>
      </c>
      <c r="D23" s="1" t="s">
        <v>341</v>
      </c>
      <c r="E23" s="1" t="s">
        <v>22</v>
      </c>
      <c r="F23" s="5">
        <v>46195</v>
      </c>
      <c r="G23" s="28">
        <v>0.36215277777777777</v>
      </c>
      <c r="H23" s="1">
        <v>6</v>
      </c>
      <c r="I23" s="1" t="s">
        <v>32</v>
      </c>
      <c r="J23" s="4" t="s">
        <v>36</v>
      </c>
      <c r="K23" s="1" t="s">
        <v>38</v>
      </c>
      <c r="P23" s="2" t="s">
        <v>354</v>
      </c>
      <c r="Q23" s="15">
        <f>COUNTIF(C:C,"GBC")</f>
        <v>3</v>
      </c>
      <c r="S23" s="2" t="s">
        <v>156</v>
      </c>
      <c r="T23" s="15">
        <f>COUNTIF(D:D,"PSP")</f>
        <v>5</v>
      </c>
    </row>
    <row r="24" spans="1:23" ht="15" x14ac:dyDescent="0.25">
      <c r="A24" s="30">
        <f>ROWS(B24:B$389)</f>
        <v>366</v>
      </c>
      <c r="B24" s="6" t="s">
        <v>385</v>
      </c>
      <c r="C24" s="1" t="s">
        <v>342</v>
      </c>
      <c r="D24" s="1" t="s">
        <v>341</v>
      </c>
      <c r="E24" s="1" t="s">
        <v>22</v>
      </c>
      <c r="F24" s="5">
        <v>46188</v>
      </c>
      <c r="G24" s="28">
        <v>0.4236111111111111</v>
      </c>
      <c r="H24" s="1">
        <v>6</v>
      </c>
      <c r="I24" s="1" t="s">
        <v>32</v>
      </c>
      <c r="J24" s="4" t="s">
        <v>36</v>
      </c>
      <c r="K24" s="1" t="s">
        <v>38</v>
      </c>
      <c r="L24" s="8"/>
      <c r="M24" s="43" t="s">
        <v>332</v>
      </c>
      <c r="N24" s="44" t="s">
        <v>51</v>
      </c>
      <c r="P24" s="2" t="s">
        <v>357</v>
      </c>
      <c r="Q24" s="15">
        <f>COUNTIF(C:C,"X One")</f>
        <v>1</v>
      </c>
      <c r="S24" s="2" t="s">
        <v>353</v>
      </c>
      <c r="T24" s="15">
        <f>COUNTIF(D:D,"GC")</f>
        <v>4</v>
      </c>
    </row>
    <row r="25" spans="1:23" ht="15" x14ac:dyDescent="0.25">
      <c r="A25" s="30">
        <f>ROWS(B25:B$389)</f>
        <v>365</v>
      </c>
      <c r="B25" s="6" t="s">
        <v>482</v>
      </c>
      <c r="C25" s="1" t="s">
        <v>20</v>
      </c>
      <c r="D25" s="1" t="s">
        <v>20</v>
      </c>
      <c r="E25" s="1" t="s">
        <v>27</v>
      </c>
      <c r="F25" s="5">
        <v>46164</v>
      </c>
      <c r="G25" s="28">
        <v>1.1458333333333333</v>
      </c>
      <c r="H25" s="1">
        <v>7</v>
      </c>
      <c r="I25" s="1" t="s">
        <v>32</v>
      </c>
      <c r="J25" s="4" t="s">
        <v>36</v>
      </c>
      <c r="K25" s="1" t="s">
        <v>37</v>
      </c>
      <c r="L25" s="8"/>
      <c r="M25" s="49" t="s">
        <v>492</v>
      </c>
      <c r="N25" s="42">
        <f>COUNTIFS(B:B,"*[P]*")</f>
        <v>20</v>
      </c>
      <c r="P25" s="2" t="s">
        <v>358</v>
      </c>
      <c r="Q25" s="15">
        <f>COUNTIF(C:C,"PS2")</f>
        <v>0</v>
      </c>
      <c r="S25" s="2" t="s">
        <v>359</v>
      </c>
      <c r="T25" s="15">
        <f>COUNTIF(D:D,"MD")</f>
        <v>4</v>
      </c>
    </row>
    <row r="26" spans="1:23" ht="15" x14ac:dyDescent="0.25">
      <c r="A26" s="30">
        <f>ROWS(B26:B$389)</f>
        <v>364</v>
      </c>
      <c r="B26" s="6" t="s">
        <v>483</v>
      </c>
      <c r="C26" s="1" t="s">
        <v>342</v>
      </c>
      <c r="D26" s="1" t="s">
        <v>341</v>
      </c>
      <c r="E26" s="1" t="s">
        <v>27</v>
      </c>
      <c r="F26" s="5">
        <v>46145</v>
      </c>
      <c r="G26" s="28">
        <v>0.9506944444444444</v>
      </c>
      <c r="H26" s="1">
        <v>7</v>
      </c>
      <c r="I26" s="1" t="s">
        <v>33</v>
      </c>
      <c r="J26" s="4" t="s">
        <v>36</v>
      </c>
      <c r="K26" s="1" t="s">
        <v>37</v>
      </c>
      <c r="L26" s="8"/>
      <c r="M26" s="48" t="s">
        <v>493</v>
      </c>
      <c r="N26" s="42">
        <f>COUNTIFS(B:B,"*[D]*")</f>
        <v>4</v>
      </c>
      <c r="P26" s="2" t="s">
        <v>227</v>
      </c>
      <c r="Q26" s="15">
        <f>COUNTIF(C:C,"NES")</f>
        <v>0</v>
      </c>
      <c r="S26" s="2" t="s">
        <v>227</v>
      </c>
      <c r="T26" s="15">
        <f>COUNTIF(D:D,"NES")</f>
        <v>4</v>
      </c>
    </row>
    <row r="27" spans="1:23" ht="15" x14ac:dyDescent="0.25">
      <c r="A27" s="30">
        <f>ROWS(B27:B$389)</f>
        <v>363</v>
      </c>
      <c r="B27" s="6" t="s">
        <v>484</v>
      </c>
      <c r="C27" s="1" t="s">
        <v>20</v>
      </c>
      <c r="D27" s="1" t="s">
        <v>20</v>
      </c>
      <c r="E27" s="1" t="s">
        <v>27</v>
      </c>
      <c r="F27" s="5">
        <v>46145</v>
      </c>
      <c r="G27" s="28">
        <v>1.7333333333333334</v>
      </c>
      <c r="H27" s="1">
        <v>8</v>
      </c>
      <c r="I27" s="1" t="s">
        <v>32</v>
      </c>
      <c r="J27" s="4" t="s">
        <v>36</v>
      </c>
      <c r="K27" s="1" t="s">
        <v>37</v>
      </c>
      <c r="L27" s="8"/>
      <c r="M27" s="45" t="s">
        <v>329</v>
      </c>
      <c r="N27" s="42">
        <f>N29-N28</f>
        <v>334</v>
      </c>
      <c r="P27" s="2" t="s">
        <v>359</v>
      </c>
      <c r="Q27" s="15">
        <f>COUNTIF(C:C,"MD")</f>
        <v>0</v>
      </c>
      <c r="S27" s="2" t="s">
        <v>357</v>
      </c>
      <c r="T27" s="15">
        <f>COUNTIF(D:D,"X One")</f>
        <v>1</v>
      </c>
    </row>
    <row r="28" spans="1:23" ht="15" x14ac:dyDescent="0.25">
      <c r="A28" s="30">
        <f>ROWS(B28:B$389)</f>
        <v>362</v>
      </c>
      <c r="B28" s="6" t="s">
        <v>485</v>
      </c>
      <c r="C28" s="1" t="s">
        <v>342</v>
      </c>
      <c r="D28" s="1" t="s">
        <v>341</v>
      </c>
      <c r="E28" s="1" t="s">
        <v>27</v>
      </c>
      <c r="F28" s="5">
        <v>46125</v>
      </c>
      <c r="G28" s="28">
        <v>1.25</v>
      </c>
      <c r="H28" s="1">
        <v>8</v>
      </c>
      <c r="I28" s="1" t="s">
        <v>33</v>
      </c>
      <c r="J28" s="4" t="s">
        <v>36</v>
      </c>
      <c r="K28" s="1" t="s">
        <v>37</v>
      </c>
      <c r="L28" s="8"/>
      <c r="M28" s="46" t="s">
        <v>330</v>
      </c>
      <c r="N28" s="42">
        <f>COUNTIFS(B:B,"*(*")</f>
        <v>52</v>
      </c>
      <c r="P28" s="11" t="s">
        <v>51</v>
      </c>
      <c r="Q28" s="12">
        <f>SUM(Q4:Q27)</f>
        <v>386</v>
      </c>
      <c r="S28" s="11" t="s">
        <v>51</v>
      </c>
      <c r="T28" s="12">
        <f>SUM(T4:T27)</f>
        <v>386</v>
      </c>
    </row>
    <row r="29" spans="1:23" ht="15" x14ac:dyDescent="0.25">
      <c r="A29" s="30">
        <f>ROWS(B29:B$389)</f>
        <v>361</v>
      </c>
      <c r="B29" s="6" t="s">
        <v>381</v>
      </c>
      <c r="C29" s="1" t="s">
        <v>342</v>
      </c>
      <c r="D29" s="1" t="s">
        <v>341</v>
      </c>
      <c r="E29" s="1" t="s">
        <v>23</v>
      </c>
      <c r="F29" s="5">
        <v>46108</v>
      </c>
      <c r="G29" s="28">
        <v>3.5979166666666669</v>
      </c>
      <c r="H29" s="1">
        <v>9</v>
      </c>
      <c r="I29" s="1" t="s">
        <v>33</v>
      </c>
      <c r="J29" s="4" t="s">
        <v>36</v>
      </c>
      <c r="K29" s="1" t="s">
        <v>37</v>
      </c>
      <c r="M29" s="43" t="s">
        <v>331</v>
      </c>
      <c r="N29" s="47">
        <f>COUNT(A:A)</f>
        <v>386</v>
      </c>
    </row>
    <row r="30" spans="1:23" ht="15" x14ac:dyDescent="0.25">
      <c r="A30" s="30">
        <f>ROWS(B30:B$389)</f>
        <v>360</v>
      </c>
      <c r="B30" s="6" t="s">
        <v>379</v>
      </c>
      <c r="C30" s="1" t="s">
        <v>20</v>
      </c>
      <c r="D30" s="1" t="s">
        <v>20</v>
      </c>
      <c r="E30" s="1" t="s">
        <v>29</v>
      </c>
      <c r="F30" s="5">
        <v>46052</v>
      </c>
      <c r="G30" s="28">
        <v>2.625</v>
      </c>
      <c r="H30" s="1">
        <v>6</v>
      </c>
      <c r="I30" s="1" t="s">
        <v>32</v>
      </c>
      <c r="J30" s="4" t="s">
        <v>380</v>
      </c>
      <c r="K30" s="1" t="s">
        <v>37</v>
      </c>
      <c r="L30" s="16"/>
      <c r="M30" s="60"/>
      <c r="N30" s="61"/>
      <c r="P30" s="37" t="s">
        <v>21</v>
      </c>
      <c r="Q30" s="38" t="s">
        <v>0</v>
      </c>
      <c r="S30" s="37" t="s">
        <v>226</v>
      </c>
      <c r="T30" s="38" t="s">
        <v>0</v>
      </c>
    </row>
    <row r="31" spans="1:23" ht="15" x14ac:dyDescent="0.25">
      <c r="A31" s="30">
        <f>ROWS(B31:B$389)</f>
        <v>359</v>
      </c>
      <c r="B31" s="6" t="s">
        <v>377</v>
      </c>
      <c r="C31" s="1" t="s">
        <v>342</v>
      </c>
      <c r="D31" s="1" t="s">
        <v>227</v>
      </c>
      <c r="E31" s="1" t="s">
        <v>21</v>
      </c>
      <c r="F31" s="5">
        <v>46019</v>
      </c>
      <c r="G31" s="28">
        <v>8.3333333333333329E-2</v>
      </c>
      <c r="H31" s="1">
        <v>9</v>
      </c>
      <c r="I31" s="1" t="s">
        <v>34</v>
      </c>
      <c r="J31" s="4" t="s">
        <v>36</v>
      </c>
      <c r="K31" s="1" t="s">
        <v>37</v>
      </c>
      <c r="L31" s="16"/>
      <c r="M31" s="37" t="s">
        <v>59</v>
      </c>
      <c r="N31" s="38" t="s">
        <v>0</v>
      </c>
      <c r="P31" s="33" t="s">
        <v>478</v>
      </c>
      <c r="Q31" s="15" cm="1">
        <f t="array" ref="Q31">SUM(SUMIF($P$4:$P$27,{"Switch";"Switch 2";"3DS";"DS";"Wii";"Wii U";"SNES";"N64";"GBA";"GB";"GBC";"GC";"NES"},$Q$4:$Q$27))</f>
        <v>198</v>
      </c>
      <c r="S31" s="33" t="s">
        <v>478</v>
      </c>
      <c r="T31" s="15" cm="1">
        <f t="array" ref="T31">SUM(SUMIF($S$4:$S$27,{"Switch";"Switch 2";"3DS";"DS";"Wii";"Wii U";"SNES";"N64";"GBA";"GB";"GBC";"GC";"NES"},$T$4:$T$27))</f>
        <v>212</v>
      </c>
    </row>
    <row r="32" spans="1:23" ht="15" x14ac:dyDescent="0.25">
      <c r="A32" s="30">
        <f>ROWS(B32:B$389)</f>
        <v>358</v>
      </c>
      <c r="B32" s="6" t="s">
        <v>376</v>
      </c>
      <c r="C32" s="1" t="s">
        <v>342</v>
      </c>
      <c r="D32" s="1" t="s">
        <v>342</v>
      </c>
      <c r="E32" s="1" t="s">
        <v>23</v>
      </c>
      <c r="F32" s="5">
        <v>46008</v>
      </c>
      <c r="G32" s="28">
        <v>4.5180555555555557</v>
      </c>
      <c r="H32" s="1">
        <v>7</v>
      </c>
      <c r="I32" s="1" t="s">
        <v>32</v>
      </c>
      <c r="J32" s="4" t="s">
        <v>36</v>
      </c>
      <c r="K32" s="1" t="s">
        <v>37</v>
      </c>
      <c r="L32" s="16"/>
      <c r="M32" s="52" t="s">
        <v>407</v>
      </c>
      <c r="N32" s="42">
        <f>COUNTIF(K:K,"Sim")</f>
        <v>290</v>
      </c>
      <c r="P32" s="58" t="s">
        <v>479</v>
      </c>
      <c r="Q32" s="15" cm="1">
        <f t="array" ref="Q32">SUM(SUMIF($P$4:$P$27,{"PS1";"PS2";"PS3";"PS4";"PSP";"Vita"},$Q$4:$Q$27))</f>
        <v>87</v>
      </c>
      <c r="S32" s="58" t="s">
        <v>479</v>
      </c>
      <c r="T32" s="15" cm="1">
        <f t="array" ref="T32">SUM(SUMIF($S$4:$S$27,{"PS1";"PS2";"PS3";"PS4";"PSP";"Vita"},$T$4:$T$27))</f>
        <v>95</v>
      </c>
    </row>
    <row r="33" spans="1:20" ht="15" x14ac:dyDescent="0.25">
      <c r="A33" s="30">
        <f>ROWS(B33:B$389)</f>
        <v>357</v>
      </c>
      <c r="B33" s="6" t="s">
        <v>375</v>
      </c>
      <c r="C33" s="1" t="s">
        <v>342</v>
      </c>
      <c r="D33" s="1" t="s">
        <v>341</v>
      </c>
      <c r="E33" s="1" t="s">
        <v>23</v>
      </c>
      <c r="F33" s="5">
        <v>45976</v>
      </c>
      <c r="G33" s="28">
        <v>1.6672569444444445</v>
      </c>
      <c r="H33" s="1">
        <v>7</v>
      </c>
      <c r="I33" s="1" t="s">
        <v>33</v>
      </c>
      <c r="J33" s="4" t="s">
        <v>36</v>
      </c>
      <c r="K33" s="1" t="s">
        <v>37</v>
      </c>
      <c r="L33" s="8"/>
      <c r="M33" s="53" t="s">
        <v>408</v>
      </c>
      <c r="N33" s="42">
        <f>COUNTIF(K:K,"Não")</f>
        <v>96</v>
      </c>
      <c r="P33" s="59" t="s">
        <v>480</v>
      </c>
      <c r="Q33" s="15" cm="1">
        <f t="array" ref="Q33">SUM(SUMIF($P$4:$P$27,{"X Series";"X One";"X 360"},$Q$4:$Q$27))</f>
        <v>15</v>
      </c>
      <c r="S33" s="59" t="s">
        <v>480</v>
      </c>
      <c r="T33" s="15" cm="1">
        <f t="array" ref="T33">SUM(SUMIF($S$4:$S$27,{"X Series";"X One";"X 360"},$T$4:$T$27))</f>
        <v>15</v>
      </c>
    </row>
    <row r="34" spans="1:20" ht="15" x14ac:dyDescent="0.25">
      <c r="A34" s="30">
        <f>ROWS(B34:B$389)</f>
        <v>356</v>
      </c>
      <c r="B34" s="6" t="s">
        <v>374</v>
      </c>
      <c r="C34" s="1" t="s">
        <v>342</v>
      </c>
      <c r="D34" s="1" t="s">
        <v>341</v>
      </c>
      <c r="E34" s="1" t="s">
        <v>24</v>
      </c>
      <c r="F34" s="5">
        <v>45963</v>
      </c>
      <c r="G34" s="28">
        <v>0.54166666666666663</v>
      </c>
      <c r="H34" s="1">
        <v>6</v>
      </c>
      <c r="I34" s="1" t="s">
        <v>33</v>
      </c>
      <c r="J34" s="4" t="s">
        <v>36</v>
      </c>
      <c r="K34" s="1" t="s">
        <v>37</v>
      </c>
      <c r="L34" s="8"/>
      <c r="M34" s="13" t="s">
        <v>51</v>
      </c>
      <c r="N34" s="12">
        <f>SUM(N32:N33)</f>
        <v>386</v>
      </c>
      <c r="P34" s="2" t="s">
        <v>20</v>
      </c>
      <c r="Q34" s="15" cm="1">
        <f t="array" ref="Q34">SUM(SUMIF($P$4:$P$27,{"PC"},$Q$4:$Q$27))</f>
        <v>86</v>
      </c>
      <c r="S34" s="2" t="s">
        <v>20</v>
      </c>
      <c r="T34" s="15" cm="1">
        <f t="array" ref="T34">SUM(SUMIF($S$4:$S$27,{"PC"},$T$4:$T$27))</f>
        <v>60</v>
      </c>
    </row>
    <row r="35" spans="1:20" ht="15" x14ac:dyDescent="0.25">
      <c r="A35" s="30">
        <f>ROWS(B35:B$389)</f>
        <v>355</v>
      </c>
      <c r="B35" s="6" t="s">
        <v>373</v>
      </c>
      <c r="C35" s="1" t="s">
        <v>342</v>
      </c>
      <c r="D35" s="1" t="s">
        <v>342</v>
      </c>
      <c r="E35" s="1" t="s">
        <v>23</v>
      </c>
      <c r="F35" s="5">
        <v>45956</v>
      </c>
      <c r="G35" s="28">
        <v>18.333333333333332</v>
      </c>
      <c r="H35" s="1">
        <v>8</v>
      </c>
      <c r="I35" s="1" t="s">
        <v>32</v>
      </c>
      <c r="J35" s="4" t="s">
        <v>36</v>
      </c>
      <c r="K35" s="1" t="s">
        <v>37</v>
      </c>
      <c r="L35" s="16"/>
      <c r="M35"/>
      <c r="N35"/>
      <c r="P35" s="62" t="s">
        <v>481</v>
      </c>
      <c r="Q35" s="15" cm="1">
        <f t="array" ref="Q35">SUM($Q$4:$Q$27)-SUM(SUMIF($P$4:$P$27,{"PC";"Switch";"Switch 2";"3DS";"DS";"Wii";"Wii U";"SNES";"N64";"GBA";"GB";"GBC";"GC";"NES";"PS1";"PS2";"PS3";"PS4";"PSP";"Vita";"X Series";"X One";"X 360"},$Q$4:$Q$27))</f>
        <v>0</v>
      </c>
      <c r="S35" s="62" t="s">
        <v>481</v>
      </c>
      <c r="T35" s="15" cm="1">
        <f t="array" ref="T35">SUM($T$4:$T$27)-SUM(SUMIF($S$4:$S$27,{"PC";"Switch";"Switch 2";"3DS";"DS";"Wii";"Wii U";"SNES";"N64";"GBA";"GB";"GBC";"GC";"NES";"PS1";"PS2";"PS3";"PS4";"PSP";"Vita";"X Series";"X One";"X 360"},$T$4:$T$27))</f>
        <v>4</v>
      </c>
    </row>
    <row r="36" spans="1:20" ht="15" x14ac:dyDescent="0.25">
      <c r="A36" s="30">
        <f>ROWS(B36:B$389)</f>
        <v>354</v>
      </c>
      <c r="B36" s="6" t="s">
        <v>372</v>
      </c>
      <c r="C36" s="1" t="s">
        <v>342</v>
      </c>
      <c r="D36" s="1" t="s">
        <v>341</v>
      </c>
      <c r="E36" s="1" t="s">
        <v>27</v>
      </c>
      <c r="F36" s="5">
        <v>45948</v>
      </c>
      <c r="G36" s="28">
        <v>0.83333333333333337</v>
      </c>
      <c r="H36" s="1">
        <v>10</v>
      </c>
      <c r="I36" s="1" t="s">
        <v>32</v>
      </c>
      <c r="J36" s="4" t="s">
        <v>36</v>
      </c>
      <c r="K36" s="1" t="s">
        <v>37</v>
      </c>
      <c r="L36" s="16"/>
      <c r="M36"/>
      <c r="N36"/>
      <c r="P36" s="11" t="s">
        <v>51</v>
      </c>
      <c r="Q36" s="12">
        <f>SUM(Q31:Q35)</f>
        <v>386</v>
      </c>
      <c r="S36" s="11" t="s">
        <v>51</v>
      </c>
      <c r="T36" s="12">
        <f>SUM(T31:T35)</f>
        <v>386</v>
      </c>
    </row>
    <row r="37" spans="1:20" ht="15" x14ac:dyDescent="0.25">
      <c r="A37" s="30">
        <f>ROWS(B37:B$389)</f>
        <v>353</v>
      </c>
      <c r="B37" s="6" t="s">
        <v>371</v>
      </c>
      <c r="C37" s="1" t="s">
        <v>342</v>
      </c>
      <c r="D37" s="1" t="s">
        <v>341</v>
      </c>
      <c r="E37" s="1" t="s">
        <v>24</v>
      </c>
      <c r="F37" s="5">
        <v>45946</v>
      </c>
      <c r="G37" s="28">
        <v>1.1204166666666666</v>
      </c>
      <c r="H37" s="1">
        <v>9</v>
      </c>
      <c r="I37" s="1" t="s">
        <v>32</v>
      </c>
      <c r="J37" s="4" t="s">
        <v>36</v>
      </c>
      <c r="K37" s="1" t="s">
        <v>37</v>
      </c>
      <c r="L37" s="16"/>
      <c r="M37" s="50"/>
      <c r="N37" s="51"/>
      <c r="O37" s="54"/>
    </row>
    <row r="38" spans="1:20" ht="15" x14ac:dyDescent="0.25">
      <c r="A38" s="30">
        <f>ROWS(B38:B$389)</f>
        <v>352</v>
      </c>
      <c r="B38" s="6" t="s">
        <v>370</v>
      </c>
      <c r="C38" s="1" t="s">
        <v>342</v>
      </c>
      <c r="D38" s="1" t="s">
        <v>341</v>
      </c>
      <c r="E38" s="1" t="s">
        <v>29</v>
      </c>
      <c r="F38" s="5">
        <v>45938</v>
      </c>
      <c r="G38" s="28">
        <v>8.3333333333333329E-2</v>
      </c>
      <c r="H38" s="1">
        <v>6</v>
      </c>
      <c r="I38" s="1" t="s">
        <v>33</v>
      </c>
      <c r="J38" s="4" t="s">
        <v>36</v>
      </c>
      <c r="K38" s="1" t="s">
        <v>38</v>
      </c>
      <c r="L38" s="16"/>
      <c r="M38" s="37" t="s">
        <v>53</v>
      </c>
      <c r="N38" s="55" t="s">
        <v>490</v>
      </c>
      <c r="O38" s="82" t="s">
        <v>491</v>
      </c>
      <c r="P38" s="83"/>
    </row>
    <row r="39" spans="1:20" ht="15" x14ac:dyDescent="0.25">
      <c r="A39" s="30">
        <f>ROWS(B39:B$389)</f>
        <v>351</v>
      </c>
      <c r="B39" s="6" t="s">
        <v>368</v>
      </c>
      <c r="C39" s="1" t="s">
        <v>342</v>
      </c>
      <c r="D39" s="1" t="s">
        <v>341</v>
      </c>
      <c r="E39" s="1" t="s">
        <v>23</v>
      </c>
      <c r="F39" s="5">
        <v>45937</v>
      </c>
      <c r="G39" s="28">
        <v>0.83333333333333337</v>
      </c>
      <c r="H39" s="1">
        <v>8</v>
      </c>
      <c r="I39" s="1" t="s">
        <v>32</v>
      </c>
      <c r="J39" s="4" t="s">
        <v>36</v>
      </c>
      <c r="K39" s="1" t="s">
        <v>38</v>
      </c>
      <c r="L39" s="16"/>
      <c r="M39" s="41">
        <v>2026</v>
      </c>
      <c r="N39" s="42">
        <f>COUNTIFS(F:F,"&gt;=01/01/2026",F:F,"&lt;=31/12/2026")</f>
        <v>27</v>
      </c>
      <c r="O39" s="76">
        <f>SUMIFS($G:$G, $F:$F, "&gt;="&amp;DATE(M39,1,1), $F:$F, "&lt;="&amp;DATE(M39,12,31))</f>
        <v>22.08846064814815</v>
      </c>
      <c r="P39" s="77"/>
    </row>
    <row r="40" spans="1:20" ht="15" x14ac:dyDescent="0.25">
      <c r="A40" s="30">
        <f>ROWS(B40:B$389)</f>
        <v>350</v>
      </c>
      <c r="B40" s="6" t="s">
        <v>424</v>
      </c>
      <c r="C40" s="1" t="s">
        <v>342</v>
      </c>
      <c r="D40" s="1" t="s">
        <v>341</v>
      </c>
      <c r="E40" s="1" t="s">
        <v>65</v>
      </c>
      <c r="F40" s="5">
        <v>45933</v>
      </c>
      <c r="G40" s="28">
        <v>8.3333333333333329E-2</v>
      </c>
      <c r="H40" s="1">
        <v>6</v>
      </c>
      <c r="I40" s="1" t="s">
        <v>32</v>
      </c>
      <c r="J40" s="4" t="s">
        <v>36</v>
      </c>
      <c r="K40" s="1" t="s">
        <v>38</v>
      </c>
      <c r="L40" s="16"/>
      <c r="M40" s="68">
        <v>2025</v>
      </c>
      <c r="N40" s="69">
        <f>COUNTIFS(F:F,"&gt;=01/01/2025",F:F,"&lt;=31/12/2025")</f>
        <v>20</v>
      </c>
      <c r="O40" s="78">
        <f>SUMIFS($G:$G, $F:$F, "&gt;="&amp;DATE(M40,1,1), $F:$F, "&lt;="&amp;DATE(M40,12,31))</f>
        <v>39.712557870370361</v>
      </c>
      <c r="P40" s="79"/>
    </row>
    <row r="41" spans="1:20" ht="15" x14ac:dyDescent="0.25">
      <c r="A41" s="30">
        <f>ROWS(B41:B$389)</f>
        <v>349</v>
      </c>
      <c r="B41" s="6" t="s">
        <v>366</v>
      </c>
      <c r="C41" s="1" t="s">
        <v>342</v>
      </c>
      <c r="D41" s="1" t="s">
        <v>341</v>
      </c>
      <c r="E41" s="1" t="s">
        <v>22</v>
      </c>
      <c r="F41" s="5">
        <v>45932</v>
      </c>
      <c r="G41" s="28">
        <v>0.92569444444444449</v>
      </c>
      <c r="H41" s="1">
        <v>8</v>
      </c>
      <c r="I41" s="1" t="s">
        <v>32</v>
      </c>
      <c r="J41" s="4" t="s">
        <v>36</v>
      </c>
      <c r="K41" s="1" t="s">
        <v>37</v>
      </c>
      <c r="L41" s="16"/>
      <c r="M41" s="41">
        <v>2024</v>
      </c>
      <c r="N41" s="42">
        <f>COUNTIFS(F:F,"&gt;=01/01/2024",F:F,"&lt;=31/12/2024")</f>
        <v>24</v>
      </c>
      <c r="O41" s="76">
        <f>SUMIFS($G:$G, $F:$F, "&gt;="&amp;DATE(M41,1,1), $F:$F, "&lt;="&amp;DATE(M41,12,31))</f>
        <v>15.460520833333334</v>
      </c>
      <c r="P41" s="77"/>
    </row>
    <row r="42" spans="1:20" ht="15" x14ac:dyDescent="0.25">
      <c r="A42" s="30">
        <f>ROWS(B42:B$389)</f>
        <v>348</v>
      </c>
      <c r="B42" s="6" t="s">
        <v>365</v>
      </c>
      <c r="C42" s="1" t="s">
        <v>342</v>
      </c>
      <c r="D42" s="1" t="s">
        <v>341</v>
      </c>
      <c r="E42" s="1" t="s">
        <v>23</v>
      </c>
      <c r="F42" s="5">
        <v>45929</v>
      </c>
      <c r="G42" s="28">
        <v>2.8158449074074072</v>
      </c>
      <c r="H42" s="1">
        <v>9</v>
      </c>
      <c r="I42" s="1" t="s">
        <v>32</v>
      </c>
      <c r="J42" s="4" t="s">
        <v>36</v>
      </c>
      <c r="K42" s="1" t="s">
        <v>37</v>
      </c>
      <c r="L42" s="16"/>
      <c r="M42" s="68">
        <v>2023</v>
      </c>
      <c r="N42" s="69">
        <f>COUNTIFS(F:F,"&gt;=01/01/2023",F:F,"&lt;=31/12/2023")</f>
        <v>35</v>
      </c>
      <c r="O42" s="78">
        <f>SUMIFS($G:$G, $F:$F, "&gt;="&amp;DATE(M42,1,1), $F:$F, "&lt;="&amp;DATE(M42,12,31))</f>
        <v>66.78905092592592</v>
      </c>
      <c r="P42" s="79"/>
    </row>
    <row r="43" spans="1:20" ht="15" x14ac:dyDescent="0.25">
      <c r="A43" s="30">
        <f>ROWS(B43:B$389)</f>
        <v>347</v>
      </c>
      <c r="B43" s="6" t="s">
        <v>340</v>
      </c>
      <c r="C43" s="1" t="s">
        <v>342</v>
      </c>
      <c r="D43" s="1" t="s">
        <v>342</v>
      </c>
      <c r="E43" s="1" t="s">
        <v>21</v>
      </c>
      <c r="F43" s="5">
        <v>45913</v>
      </c>
      <c r="G43" s="28">
        <v>2.2916666666666665</v>
      </c>
      <c r="H43" s="1">
        <v>10</v>
      </c>
      <c r="I43" s="1" t="s">
        <v>32</v>
      </c>
      <c r="J43" s="4" t="s">
        <v>36</v>
      </c>
      <c r="K43" s="1" t="s">
        <v>37</v>
      </c>
      <c r="M43" s="41">
        <v>2022</v>
      </c>
      <c r="N43" s="42">
        <f>COUNTIFS(F:F,"&gt;=01/01/2022",F:F,"&lt;=31/12/2022")</f>
        <v>33</v>
      </c>
      <c r="O43" s="76">
        <f>SUMIFS($G:$G, $F:$F, "&gt;="&amp;DATE(M43,1,1), $F:$F, "&lt;="&amp;DATE(M43,12,31))</f>
        <v>58.889837962962957</v>
      </c>
      <c r="P43" s="77"/>
    </row>
    <row r="44" spans="1:20" ht="15" x14ac:dyDescent="0.25">
      <c r="A44" s="30">
        <f>ROWS(B44:B$389)</f>
        <v>346</v>
      </c>
      <c r="B44" s="6" t="s">
        <v>361</v>
      </c>
      <c r="C44" s="1" t="s">
        <v>342</v>
      </c>
      <c r="D44" s="1" t="s">
        <v>341</v>
      </c>
      <c r="E44" s="1" t="s">
        <v>23</v>
      </c>
      <c r="F44" s="5">
        <v>45900</v>
      </c>
      <c r="G44" s="28">
        <v>1.5506944444444444</v>
      </c>
      <c r="H44" s="1">
        <v>8</v>
      </c>
      <c r="I44" s="1" t="s">
        <v>32</v>
      </c>
      <c r="J44" s="4" t="s">
        <v>36</v>
      </c>
      <c r="K44" s="1" t="s">
        <v>37</v>
      </c>
      <c r="M44" s="68">
        <v>2021</v>
      </c>
      <c r="N44" s="69">
        <f>COUNTIFS(F:F,"&gt;=01/01/2021",F:F,"&lt;=31/12/2021")</f>
        <v>20</v>
      </c>
      <c r="O44" s="78">
        <f>SUMIFS($G:$G, $F:$F, "&gt;="&amp;DATE(M44,1,1), $F:$F, "&lt;="&amp;DATE(M44,12,31))</f>
        <v>47.408263888888897</v>
      </c>
      <c r="P44" s="79"/>
    </row>
    <row r="45" spans="1:20" ht="15" x14ac:dyDescent="0.25">
      <c r="A45" s="30">
        <f>ROWS(B45:B$389)</f>
        <v>345</v>
      </c>
      <c r="B45" s="6" t="s">
        <v>362</v>
      </c>
      <c r="C45" s="1" t="s">
        <v>342</v>
      </c>
      <c r="D45" s="1" t="s">
        <v>341</v>
      </c>
      <c r="E45" s="1" t="s">
        <v>23</v>
      </c>
      <c r="F45" s="5">
        <v>45894</v>
      </c>
      <c r="G45" s="28">
        <v>0.9458333333333333</v>
      </c>
      <c r="H45" s="1">
        <v>7</v>
      </c>
      <c r="I45" s="1" t="s">
        <v>33</v>
      </c>
      <c r="J45" s="4" t="s">
        <v>36</v>
      </c>
      <c r="K45" s="1" t="s">
        <v>37</v>
      </c>
      <c r="M45" s="41">
        <v>2020</v>
      </c>
      <c r="N45" s="42">
        <f>COUNTIFS(F:F,"&gt;=01/01/2020",F:F,"&lt;=31/12/2020")</f>
        <v>29</v>
      </c>
      <c r="O45" s="76">
        <f>SUMIFS($G:$G, $F:$F, "&gt;="&amp;DATE(M45,1,1), $F:$F, "&lt;="&amp;DATE(M45,12,31))</f>
        <v>63.090277777777764</v>
      </c>
      <c r="P45" s="77"/>
    </row>
    <row r="46" spans="1:20" ht="15" x14ac:dyDescent="0.25">
      <c r="A46" s="30">
        <f>ROWS(B46:B$389)</f>
        <v>344</v>
      </c>
      <c r="B46" s="6" t="s">
        <v>339</v>
      </c>
      <c r="C46" s="1" t="s">
        <v>342</v>
      </c>
      <c r="D46" s="1" t="s">
        <v>342</v>
      </c>
      <c r="E46" s="1" t="s">
        <v>28</v>
      </c>
      <c r="F46" s="5">
        <v>45892</v>
      </c>
      <c r="G46" s="28">
        <v>0.20833333333333334</v>
      </c>
      <c r="H46" s="1">
        <v>8</v>
      </c>
      <c r="I46" s="1" t="s">
        <v>32</v>
      </c>
      <c r="J46" s="4" t="s">
        <v>39</v>
      </c>
      <c r="K46" s="1" t="s">
        <v>38</v>
      </c>
      <c r="M46" s="68">
        <v>2019</v>
      </c>
      <c r="N46" s="69">
        <f>COUNTIFS(F:F,"&gt;=01/01/2019",F:F,"&lt;=31/12/2019")</f>
        <v>20</v>
      </c>
      <c r="O46" s="78">
        <f>SUMIFS($G:$G, $F:$F, "&gt;="&amp;DATE(M46,1,1), $F:$F, "&lt;="&amp;DATE(M46,12,31))</f>
        <v>57.896655092592589</v>
      </c>
      <c r="P46" s="79"/>
    </row>
    <row r="47" spans="1:20" ht="15" x14ac:dyDescent="0.25">
      <c r="A47" s="30">
        <f>ROWS(B47:B$389)</f>
        <v>343</v>
      </c>
      <c r="B47" s="6" t="s">
        <v>337</v>
      </c>
      <c r="C47" s="1" t="s">
        <v>341</v>
      </c>
      <c r="D47" s="1" t="s">
        <v>341</v>
      </c>
      <c r="E47" s="1" t="s">
        <v>107</v>
      </c>
      <c r="F47" s="5">
        <v>45680</v>
      </c>
      <c r="G47" s="28">
        <v>0.41666666666666669</v>
      </c>
      <c r="H47" s="1">
        <v>8</v>
      </c>
      <c r="I47" s="1" t="s">
        <v>33</v>
      </c>
      <c r="J47" s="4" t="s">
        <v>338</v>
      </c>
      <c r="K47" s="1" t="s">
        <v>37</v>
      </c>
      <c r="M47" s="41">
        <v>2018</v>
      </c>
      <c r="N47" s="42">
        <f>COUNTIFS(F:F,"&gt;=01/01/2018",F:F,"&lt;=31/12/2018")</f>
        <v>50</v>
      </c>
      <c r="O47" s="76">
        <f>SUMIFS($G:$G, $F:$F, "&gt;="&amp;DATE(M47,1,1), $F:$F, "&lt;="&amp;DATE(M47,12,31))</f>
        <v>96.097395833333323</v>
      </c>
      <c r="P47" s="77"/>
    </row>
    <row r="48" spans="1:20" ht="15" x14ac:dyDescent="0.25">
      <c r="A48" s="30">
        <f>ROWS(B48:B$389)</f>
        <v>342</v>
      </c>
      <c r="B48" s="6" t="s">
        <v>99</v>
      </c>
      <c r="C48" s="1" t="s">
        <v>343</v>
      </c>
      <c r="D48" s="1" t="s">
        <v>343</v>
      </c>
      <c r="E48" s="1" t="s">
        <v>21</v>
      </c>
      <c r="F48" s="5">
        <v>45676</v>
      </c>
      <c r="G48" s="28">
        <v>1.0534722222222221</v>
      </c>
      <c r="H48" s="1">
        <v>8</v>
      </c>
      <c r="I48" s="1" t="s">
        <v>33</v>
      </c>
      <c r="J48" s="4" t="s">
        <v>36</v>
      </c>
      <c r="K48" s="1" t="s">
        <v>38</v>
      </c>
      <c r="M48" s="68">
        <v>2017</v>
      </c>
      <c r="N48" s="69">
        <f>COUNTIFS(F:F,"&gt;=01/01/2017",F:F,"&lt;=31/12/2017")</f>
        <v>50</v>
      </c>
      <c r="O48" s="78">
        <f>SUMIFS($G:$G, $F:$F, "&gt;="&amp;DATE(M48,1,1), $F:$F, "&lt;="&amp;DATE(M48,12,31))</f>
        <v>76.722939814814836</v>
      </c>
      <c r="P48" s="79"/>
    </row>
    <row r="49" spans="1:16" ht="14.25" customHeight="1" x14ac:dyDescent="0.25">
      <c r="A49" s="30">
        <f>ROWS(B49:B$389)</f>
        <v>341</v>
      </c>
      <c r="B49" s="6" t="s">
        <v>336</v>
      </c>
      <c r="C49" s="1" t="s">
        <v>343</v>
      </c>
      <c r="D49" s="1" t="s">
        <v>343</v>
      </c>
      <c r="E49" s="1" t="s">
        <v>21</v>
      </c>
      <c r="F49" s="5">
        <v>45664</v>
      </c>
      <c r="G49" s="28">
        <v>0.87361111111111112</v>
      </c>
      <c r="H49" s="1">
        <v>6</v>
      </c>
      <c r="I49" s="1" t="s">
        <v>32</v>
      </c>
      <c r="J49" s="4" t="s">
        <v>36</v>
      </c>
      <c r="K49" s="1" t="s">
        <v>38</v>
      </c>
      <c r="M49" s="41">
        <v>2016</v>
      </c>
      <c r="N49" s="42">
        <f>COUNTIFS(F:F,"&gt;=01/01/2016",F:F,"&lt;=31/12/2016")</f>
        <v>20</v>
      </c>
      <c r="O49" s="76">
        <f>SUMIFS($G:$G, $F:$F, "&gt;="&amp;DATE(M49,1,1), $F:$F, "&lt;="&amp;DATE(M49,12,31))</f>
        <v>29.277777777777782</v>
      </c>
      <c r="P49" s="77"/>
    </row>
    <row r="50" spans="1:16" ht="15" x14ac:dyDescent="0.25">
      <c r="A50" s="30">
        <f>ROWS(B50:B$389)</f>
        <v>340</v>
      </c>
      <c r="B50" s="6" t="s">
        <v>334</v>
      </c>
      <c r="C50" s="1" t="s">
        <v>20</v>
      </c>
      <c r="D50" s="1" t="s">
        <v>345</v>
      </c>
      <c r="E50" s="1" t="s">
        <v>23</v>
      </c>
      <c r="F50" s="5">
        <v>45659</v>
      </c>
      <c r="G50" s="28">
        <v>0.53334490740740736</v>
      </c>
      <c r="H50" s="1">
        <v>8</v>
      </c>
      <c r="I50" s="1" t="s">
        <v>33</v>
      </c>
      <c r="J50" s="4" t="s">
        <v>36</v>
      </c>
      <c r="K50" s="1" t="s">
        <v>38</v>
      </c>
      <c r="M50" s="68">
        <v>2015</v>
      </c>
      <c r="N50" s="69">
        <f>COUNTIFS(F:F,"&gt;=01/01/2015",F:F,"&lt;=31/12/2015")</f>
        <v>42</v>
      </c>
      <c r="O50" s="78">
        <f>SUMIFS($G:$G, $F:$F, "&gt;="&amp;DATE(M50,1,1), $F:$F, "&lt;="&amp;DATE(M50,12,31))</f>
        <v>33.481250000000003</v>
      </c>
      <c r="P50" s="79"/>
    </row>
    <row r="51" spans="1:16" ht="14.25" customHeight="1" x14ac:dyDescent="0.25">
      <c r="A51" s="30">
        <f>ROWS(B51:B$389)</f>
        <v>339</v>
      </c>
      <c r="B51" s="6" t="s">
        <v>333</v>
      </c>
      <c r="C51" s="1" t="s">
        <v>20</v>
      </c>
      <c r="D51" s="1" t="s">
        <v>20</v>
      </c>
      <c r="E51" s="1" t="s">
        <v>22</v>
      </c>
      <c r="F51" s="5">
        <v>45481</v>
      </c>
      <c r="G51" s="28">
        <v>0.71597222222222223</v>
      </c>
      <c r="H51" s="1">
        <v>10</v>
      </c>
      <c r="I51" s="1" t="s">
        <v>32</v>
      </c>
      <c r="J51" s="4" t="s">
        <v>36</v>
      </c>
      <c r="K51" s="1" t="s">
        <v>37</v>
      </c>
      <c r="M51" s="41">
        <v>2014</v>
      </c>
      <c r="N51" s="42">
        <f>COUNTIFS(F:F,"&gt;=01/01/2014",F:F,"&lt;=31/12/2014")</f>
        <v>16</v>
      </c>
      <c r="O51" s="76">
        <f>SUMIFS($G:$G, $F:$F, "&gt;="&amp;DATE(M51,1,1), $F:$F, "&lt;="&amp;DATE(M51,12,31))</f>
        <v>40.547222222222231</v>
      </c>
      <c r="P51" s="77"/>
    </row>
    <row r="52" spans="1:16" ht="14.25" customHeight="1" x14ac:dyDescent="0.25">
      <c r="A52" s="30">
        <f>ROWS(B52:B$389)</f>
        <v>338</v>
      </c>
      <c r="B52" s="6" t="s">
        <v>291</v>
      </c>
      <c r="C52" s="1" t="s">
        <v>20</v>
      </c>
      <c r="D52" s="1" t="s">
        <v>20</v>
      </c>
      <c r="E52" s="1" t="s">
        <v>29</v>
      </c>
      <c r="F52" s="5">
        <v>45396</v>
      </c>
      <c r="G52" s="28">
        <v>3.4701388888888887</v>
      </c>
      <c r="H52" s="1">
        <v>6</v>
      </c>
      <c r="I52" s="1" t="s">
        <v>32</v>
      </c>
      <c r="J52" s="4" t="s">
        <v>292</v>
      </c>
      <c r="K52" s="1" t="s">
        <v>37</v>
      </c>
      <c r="M52" s="56" t="s">
        <v>51</v>
      </c>
      <c r="N52" s="72">
        <f>SUM(N39:N51)</f>
        <v>386</v>
      </c>
      <c r="O52" s="80">
        <f>SUM(O39:P51)</f>
        <v>647.46221064814824</v>
      </c>
      <c r="P52" s="81"/>
    </row>
    <row r="53" spans="1:16" ht="14.25" customHeight="1" x14ac:dyDescent="0.2">
      <c r="A53" s="30">
        <f>ROWS(B53:B$389)</f>
        <v>337</v>
      </c>
      <c r="B53" s="6" t="s">
        <v>288</v>
      </c>
      <c r="C53" s="1" t="s">
        <v>20</v>
      </c>
      <c r="D53" s="1" t="s">
        <v>358</v>
      </c>
      <c r="E53" s="1" t="s">
        <v>30</v>
      </c>
      <c r="F53" s="5">
        <v>45374</v>
      </c>
      <c r="G53" s="28">
        <v>3.125E-2</v>
      </c>
      <c r="H53" s="1">
        <v>7</v>
      </c>
      <c r="I53" s="1" t="s">
        <v>32</v>
      </c>
      <c r="J53" s="4" t="s">
        <v>71</v>
      </c>
      <c r="K53" s="1" t="s">
        <v>38</v>
      </c>
    </row>
    <row r="54" spans="1:16" ht="14.25" customHeight="1" x14ac:dyDescent="0.2">
      <c r="A54" s="30">
        <f>ROWS(B54:B$389)</f>
        <v>336</v>
      </c>
      <c r="B54" s="6" t="s">
        <v>287</v>
      </c>
      <c r="C54" s="1" t="s">
        <v>20</v>
      </c>
      <c r="D54" s="1" t="s">
        <v>20</v>
      </c>
      <c r="E54" s="1" t="s">
        <v>30</v>
      </c>
      <c r="F54" s="5">
        <v>45373</v>
      </c>
      <c r="G54" s="28">
        <v>0.46527777777777773</v>
      </c>
      <c r="H54" s="1">
        <v>7</v>
      </c>
      <c r="I54" s="1" t="s">
        <v>32</v>
      </c>
      <c r="J54" s="4" t="s">
        <v>36</v>
      </c>
      <c r="K54" s="1" t="s">
        <v>38</v>
      </c>
    </row>
    <row r="55" spans="1:16" ht="15" x14ac:dyDescent="0.25">
      <c r="A55" s="30">
        <f>ROWS(B55:B$389)</f>
        <v>335</v>
      </c>
      <c r="B55" s="6" t="s">
        <v>302</v>
      </c>
      <c r="C55" s="1" t="s">
        <v>20</v>
      </c>
      <c r="D55" s="1" t="s">
        <v>358</v>
      </c>
      <c r="E55" s="1" t="s">
        <v>69</v>
      </c>
      <c r="F55" s="5">
        <v>45370</v>
      </c>
      <c r="G55" s="28">
        <v>0.29166666666666669</v>
      </c>
      <c r="H55" s="1">
        <v>8</v>
      </c>
      <c r="I55" s="1" t="s">
        <v>32</v>
      </c>
      <c r="J55" s="4" t="s">
        <v>282</v>
      </c>
      <c r="K55" s="1" t="s">
        <v>38</v>
      </c>
    </row>
    <row r="56" spans="1:16" x14ac:dyDescent="0.2">
      <c r="A56" s="30">
        <f>ROWS(B56:B$389)</f>
        <v>334</v>
      </c>
      <c r="B56" s="6" t="s">
        <v>285</v>
      </c>
      <c r="C56" s="1" t="s">
        <v>345</v>
      </c>
      <c r="D56" s="1" t="s">
        <v>345</v>
      </c>
      <c r="E56" s="1" t="s">
        <v>69</v>
      </c>
      <c r="F56" s="5">
        <v>45366</v>
      </c>
      <c r="G56" s="28">
        <v>0.25</v>
      </c>
      <c r="H56" s="1">
        <v>6</v>
      </c>
      <c r="I56" s="1" t="s">
        <v>32</v>
      </c>
      <c r="J56" s="4" t="s">
        <v>282</v>
      </c>
      <c r="K56" s="1" t="s">
        <v>38</v>
      </c>
    </row>
    <row r="57" spans="1:16" x14ac:dyDescent="0.2">
      <c r="A57" s="30">
        <f>ROWS(B57:B$389)</f>
        <v>333</v>
      </c>
      <c r="B57" s="6" t="s">
        <v>284</v>
      </c>
      <c r="C57" s="1" t="s">
        <v>345</v>
      </c>
      <c r="D57" s="1" t="s">
        <v>345</v>
      </c>
      <c r="E57" s="1" t="s">
        <v>69</v>
      </c>
      <c r="F57" s="5">
        <v>45362</v>
      </c>
      <c r="G57" s="28">
        <v>0.20833333333333334</v>
      </c>
      <c r="H57" s="1">
        <v>7</v>
      </c>
      <c r="I57" s="1" t="s">
        <v>32</v>
      </c>
      <c r="J57" s="4" t="s">
        <v>282</v>
      </c>
      <c r="K57" s="1" t="s">
        <v>38</v>
      </c>
    </row>
    <row r="58" spans="1:16" x14ac:dyDescent="0.2">
      <c r="A58" s="30">
        <f>ROWS(B58:B$389)</f>
        <v>332</v>
      </c>
      <c r="B58" s="6" t="s">
        <v>283</v>
      </c>
      <c r="C58" s="1" t="s">
        <v>345</v>
      </c>
      <c r="D58" s="1" t="s">
        <v>345</v>
      </c>
      <c r="E58" s="1" t="s">
        <v>69</v>
      </c>
      <c r="F58" s="5">
        <v>45360</v>
      </c>
      <c r="G58" s="28">
        <v>0.125</v>
      </c>
      <c r="H58" s="1">
        <v>6</v>
      </c>
      <c r="I58" s="1" t="s">
        <v>32</v>
      </c>
      <c r="J58" s="4" t="s">
        <v>282</v>
      </c>
      <c r="K58" s="1" t="s">
        <v>38</v>
      </c>
    </row>
    <row r="59" spans="1:16" x14ac:dyDescent="0.2">
      <c r="A59" s="30">
        <f>ROWS(B59:B$389)</f>
        <v>331</v>
      </c>
      <c r="B59" s="6" t="s">
        <v>281</v>
      </c>
      <c r="C59" s="1" t="s">
        <v>345</v>
      </c>
      <c r="D59" s="1" t="s">
        <v>345</v>
      </c>
      <c r="E59" s="1" t="s">
        <v>69</v>
      </c>
      <c r="F59" s="5">
        <v>45359</v>
      </c>
      <c r="G59" s="28">
        <v>0.125</v>
      </c>
      <c r="H59" s="1">
        <v>6</v>
      </c>
      <c r="I59" s="1" t="s">
        <v>32</v>
      </c>
      <c r="J59" s="4" t="s">
        <v>282</v>
      </c>
      <c r="K59" s="1" t="s">
        <v>38</v>
      </c>
    </row>
    <row r="60" spans="1:16" x14ac:dyDescent="0.2">
      <c r="A60" s="30">
        <f>ROWS(B60:B$389)</f>
        <v>330</v>
      </c>
      <c r="B60" s="6" t="s">
        <v>280</v>
      </c>
      <c r="C60" s="1" t="s">
        <v>20</v>
      </c>
      <c r="D60" s="1" t="s">
        <v>358</v>
      </c>
      <c r="E60" s="1" t="s">
        <v>69</v>
      </c>
      <c r="F60" s="5">
        <v>45358</v>
      </c>
      <c r="G60" s="28">
        <v>0.125</v>
      </c>
      <c r="H60" s="1">
        <v>4</v>
      </c>
      <c r="I60" s="1" t="s">
        <v>32</v>
      </c>
      <c r="J60" s="4" t="s">
        <v>282</v>
      </c>
      <c r="K60" s="1" t="s">
        <v>38</v>
      </c>
    </row>
    <row r="61" spans="1:16" x14ac:dyDescent="0.2">
      <c r="A61" s="30">
        <f>ROWS(B61:B$389)</f>
        <v>329</v>
      </c>
      <c r="B61" s="6" t="s">
        <v>122</v>
      </c>
      <c r="C61" s="1" t="s">
        <v>20</v>
      </c>
      <c r="D61" s="1" t="s">
        <v>358</v>
      </c>
      <c r="E61" s="1" t="s">
        <v>22</v>
      </c>
      <c r="F61" s="5">
        <v>45356</v>
      </c>
      <c r="G61" s="28">
        <v>0.30278935185185185</v>
      </c>
      <c r="H61" s="1">
        <v>8</v>
      </c>
      <c r="I61" s="1" t="s">
        <v>32</v>
      </c>
      <c r="J61" s="4" t="s">
        <v>36</v>
      </c>
      <c r="K61" s="1" t="s">
        <v>37</v>
      </c>
    </row>
    <row r="62" spans="1:16" ht="15" customHeight="1" x14ac:dyDescent="0.2">
      <c r="A62" s="30">
        <f>ROWS(B62:B$389)</f>
        <v>328</v>
      </c>
      <c r="B62" s="6" t="s">
        <v>279</v>
      </c>
      <c r="C62" s="1" t="s">
        <v>20</v>
      </c>
      <c r="D62" s="1" t="s">
        <v>358</v>
      </c>
      <c r="E62" s="1" t="s">
        <v>69</v>
      </c>
      <c r="F62" s="5">
        <v>45356</v>
      </c>
      <c r="G62" s="28">
        <v>0.20833333333333334</v>
      </c>
      <c r="H62" s="1">
        <v>5</v>
      </c>
      <c r="I62" s="1" t="s">
        <v>32</v>
      </c>
      <c r="J62" s="4" t="s">
        <v>282</v>
      </c>
      <c r="K62" s="1" t="s">
        <v>38</v>
      </c>
    </row>
    <row r="63" spans="1:16" ht="14.25" customHeight="1" x14ac:dyDescent="0.2">
      <c r="A63" s="30">
        <f>ROWS(B63:B$389)</f>
        <v>327</v>
      </c>
      <c r="B63" s="6" t="s">
        <v>278</v>
      </c>
      <c r="C63" s="1" t="s">
        <v>20</v>
      </c>
      <c r="D63" s="1" t="s">
        <v>358</v>
      </c>
      <c r="E63" s="1" t="s">
        <v>69</v>
      </c>
      <c r="F63" s="5">
        <v>45352</v>
      </c>
      <c r="G63" s="28">
        <v>0.25</v>
      </c>
      <c r="H63" s="1">
        <v>7</v>
      </c>
      <c r="I63" s="1" t="s">
        <v>32</v>
      </c>
      <c r="J63" s="4" t="s">
        <v>282</v>
      </c>
      <c r="K63" s="1" t="s">
        <v>37</v>
      </c>
    </row>
    <row r="64" spans="1:16" ht="14.25" customHeight="1" x14ac:dyDescent="0.2">
      <c r="A64" s="30">
        <f>ROWS(B64:B$389)</f>
        <v>326</v>
      </c>
      <c r="B64" s="6" t="s">
        <v>152</v>
      </c>
      <c r="C64" s="1" t="s">
        <v>20</v>
      </c>
      <c r="D64" s="1" t="s">
        <v>359</v>
      </c>
      <c r="E64" s="1" t="s">
        <v>21</v>
      </c>
      <c r="F64" s="5">
        <v>45347</v>
      </c>
      <c r="G64" s="28">
        <v>0.11666666666666665</v>
      </c>
      <c r="H64" s="1">
        <v>7</v>
      </c>
      <c r="I64" s="1" t="s">
        <v>34</v>
      </c>
      <c r="J64" s="4" t="s">
        <v>36</v>
      </c>
      <c r="K64" s="1" t="s">
        <v>37</v>
      </c>
    </row>
    <row r="65" spans="1:11" x14ac:dyDescent="0.2">
      <c r="A65" s="30">
        <f>ROWS(B65:B$389)</f>
        <v>325</v>
      </c>
      <c r="B65" s="6" t="s">
        <v>277</v>
      </c>
      <c r="C65" s="1" t="s">
        <v>20</v>
      </c>
      <c r="D65" s="1" t="s">
        <v>20</v>
      </c>
      <c r="E65" s="1" t="s">
        <v>22</v>
      </c>
      <c r="F65" s="5">
        <v>45347</v>
      </c>
      <c r="G65" s="28">
        <v>2.4958333333333331</v>
      </c>
      <c r="H65" s="1">
        <v>10</v>
      </c>
      <c r="I65" s="1" t="s">
        <v>32</v>
      </c>
      <c r="J65" s="4" t="s">
        <v>36</v>
      </c>
      <c r="K65" s="1" t="s">
        <v>37</v>
      </c>
    </row>
    <row r="66" spans="1:11" x14ac:dyDescent="0.2">
      <c r="A66" s="30">
        <f>ROWS(B66:B$389)</f>
        <v>324</v>
      </c>
      <c r="B66" s="6" t="s">
        <v>276</v>
      </c>
      <c r="C66" s="1" t="s">
        <v>20</v>
      </c>
      <c r="D66" s="1" t="s">
        <v>20</v>
      </c>
      <c r="E66" s="1" t="s">
        <v>22</v>
      </c>
      <c r="F66" s="5">
        <v>45338</v>
      </c>
      <c r="G66" s="28">
        <v>1.1097222222222223</v>
      </c>
      <c r="H66" s="1">
        <v>8</v>
      </c>
      <c r="I66" s="1" t="s">
        <v>32</v>
      </c>
      <c r="J66" s="4" t="s">
        <v>36</v>
      </c>
      <c r="K66" s="1" t="s">
        <v>37</v>
      </c>
    </row>
    <row r="67" spans="1:11" ht="14.25" customHeight="1" x14ac:dyDescent="0.2">
      <c r="A67" s="30">
        <f>ROWS(B67:B$389)</f>
        <v>323</v>
      </c>
      <c r="B67" s="6" t="s">
        <v>275</v>
      </c>
      <c r="C67" s="1" t="s">
        <v>20</v>
      </c>
      <c r="D67" s="1" t="s">
        <v>20</v>
      </c>
      <c r="E67" s="1" t="s">
        <v>22</v>
      </c>
      <c r="F67" s="5">
        <v>45335</v>
      </c>
      <c r="G67" s="28">
        <v>1.2361111111111112</v>
      </c>
      <c r="H67" s="1">
        <v>10</v>
      </c>
      <c r="I67" s="1" t="s">
        <v>32</v>
      </c>
      <c r="J67" s="4" t="s">
        <v>36</v>
      </c>
      <c r="K67" s="1" t="s">
        <v>37</v>
      </c>
    </row>
    <row r="68" spans="1:11" x14ac:dyDescent="0.2">
      <c r="A68" s="30">
        <f>ROWS(B68:B$389)</f>
        <v>322</v>
      </c>
      <c r="B68" s="6" t="s">
        <v>274</v>
      </c>
      <c r="C68" s="1" t="s">
        <v>20</v>
      </c>
      <c r="D68" s="1" t="s">
        <v>20</v>
      </c>
      <c r="E68" s="1" t="s">
        <v>23</v>
      </c>
      <c r="F68" s="5">
        <v>45325</v>
      </c>
      <c r="G68" s="28">
        <v>1.5822222222222224</v>
      </c>
      <c r="H68" s="1">
        <v>9</v>
      </c>
      <c r="I68" s="1" t="s">
        <v>34</v>
      </c>
      <c r="J68" s="4" t="s">
        <v>36</v>
      </c>
      <c r="K68" s="1" t="s">
        <v>38</v>
      </c>
    </row>
    <row r="69" spans="1:11" x14ac:dyDescent="0.2">
      <c r="A69" s="30">
        <f>ROWS(B69:B$389)</f>
        <v>321</v>
      </c>
      <c r="B69" s="6" t="s">
        <v>272</v>
      </c>
      <c r="C69" s="1" t="s">
        <v>20</v>
      </c>
      <c r="D69" s="1" t="s">
        <v>20</v>
      </c>
      <c r="E69" s="1" t="s">
        <v>120</v>
      </c>
      <c r="F69" s="5">
        <v>45314</v>
      </c>
      <c r="G69" s="28">
        <v>0.19722222222222222</v>
      </c>
      <c r="H69" s="1">
        <v>6</v>
      </c>
      <c r="I69" s="1" t="s">
        <v>32</v>
      </c>
      <c r="J69" s="4" t="s">
        <v>273</v>
      </c>
      <c r="K69" s="1" t="s">
        <v>37</v>
      </c>
    </row>
    <row r="70" spans="1:11" x14ac:dyDescent="0.2">
      <c r="A70" s="30">
        <f>ROWS(B70:B$389)</f>
        <v>320</v>
      </c>
      <c r="B70" s="6" t="s">
        <v>271</v>
      </c>
      <c r="C70" s="1" t="s">
        <v>20</v>
      </c>
      <c r="D70" s="1" t="s">
        <v>20</v>
      </c>
      <c r="E70" s="1" t="s">
        <v>30</v>
      </c>
      <c r="F70" s="5">
        <v>45311</v>
      </c>
      <c r="G70" s="28">
        <v>0.54027777777777775</v>
      </c>
      <c r="H70" s="1">
        <v>4</v>
      </c>
      <c r="I70" s="1" t="s">
        <v>32</v>
      </c>
      <c r="J70" s="4" t="s">
        <v>36</v>
      </c>
      <c r="K70" s="1" t="s">
        <v>38</v>
      </c>
    </row>
    <row r="71" spans="1:11" ht="14.25" customHeight="1" x14ac:dyDescent="0.2">
      <c r="A71" s="30">
        <f>ROWS(B71:B$389)</f>
        <v>319</v>
      </c>
      <c r="B71" s="6" t="s">
        <v>269</v>
      </c>
      <c r="C71" s="1" t="s">
        <v>20</v>
      </c>
      <c r="D71" s="1" t="s">
        <v>20</v>
      </c>
      <c r="E71" s="1" t="s">
        <v>24</v>
      </c>
      <c r="F71" s="5">
        <v>45304</v>
      </c>
      <c r="G71" s="28">
        <v>0.75138888888888899</v>
      </c>
      <c r="H71" s="1">
        <v>9</v>
      </c>
      <c r="I71" s="1" t="s">
        <v>34</v>
      </c>
      <c r="J71" s="4" t="s">
        <v>36</v>
      </c>
      <c r="K71" s="1" t="s">
        <v>37</v>
      </c>
    </row>
    <row r="72" spans="1:11" x14ac:dyDescent="0.2">
      <c r="A72" s="30">
        <f>ROWS(B72:B$389)</f>
        <v>318</v>
      </c>
      <c r="B72" s="6" t="s">
        <v>267</v>
      </c>
      <c r="C72" s="1" t="s">
        <v>20</v>
      </c>
      <c r="D72" s="1" t="s">
        <v>20</v>
      </c>
      <c r="E72" s="1" t="s">
        <v>120</v>
      </c>
      <c r="F72" s="5">
        <v>45303</v>
      </c>
      <c r="G72" s="28">
        <v>0.25</v>
      </c>
      <c r="H72" s="1">
        <v>7</v>
      </c>
      <c r="I72" s="1" t="s">
        <v>33</v>
      </c>
      <c r="J72" s="4" t="s">
        <v>268</v>
      </c>
      <c r="K72" s="1" t="s">
        <v>37</v>
      </c>
    </row>
    <row r="73" spans="1:11" ht="14.25" customHeight="1" x14ac:dyDescent="0.2">
      <c r="A73" s="30">
        <f>ROWS(B73:B$389)</f>
        <v>317</v>
      </c>
      <c r="B73" s="6" t="s">
        <v>266</v>
      </c>
      <c r="C73" s="1" t="s">
        <v>20</v>
      </c>
      <c r="D73" s="1" t="s">
        <v>350</v>
      </c>
      <c r="E73" s="1" t="s">
        <v>22</v>
      </c>
      <c r="F73" s="5">
        <v>45300</v>
      </c>
      <c r="G73" s="28">
        <v>0.54768518518518516</v>
      </c>
      <c r="H73" s="1">
        <v>8</v>
      </c>
      <c r="I73" s="1" t="s">
        <v>32</v>
      </c>
      <c r="J73" s="4" t="s">
        <v>36</v>
      </c>
      <c r="K73" s="1" t="s">
        <v>37</v>
      </c>
    </row>
    <row r="74" spans="1:11" x14ac:dyDescent="0.2">
      <c r="A74" s="30">
        <f>ROWS(B74:B$389)</f>
        <v>316</v>
      </c>
      <c r="B74" s="6" t="s">
        <v>265</v>
      </c>
      <c r="C74" s="1" t="s">
        <v>347</v>
      </c>
      <c r="D74" s="1" t="s">
        <v>347</v>
      </c>
      <c r="E74" s="1" t="s">
        <v>27</v>
      </c>
      <c r="F74" s="5">
        <v>45297</v>
      </c>
      <c r="G74" s="28">
        <v>6.4629629629629634E-2</v>
      </c>
      <c r="H74" s="1">
        <v>8</v>
      </c>
      <c r="I74" s="1" t="s">
        <v>32</v>
      </c>
      <c r="J74" s="4" t="s">
        <v>36</v>
      </c>
      <c r="K74" s="1" t="s">
        <v>37</v>
      </c>
    </row>
    <row r="75" spans="1:11" x14ac:dyDescent="0.2">
      <c r="A75" s="30">
        <f>ROWS(B75:B$389)</f>
        <v>315</v>
      </c>
      <c r="B75" s="6" t="s">
        <v>257</v>
      </c>
      <c r="C75" s="1" t="s">
        <v>20</v>
      </c>
      <c r="D75" s="1" t="s">
        <v>20</v>
      </c>
      <c r="E75" s="1" t="s">
        <v>157</v>
      </c>
      <c r="F75" s="5">
        <v>45286</v>
      </c>
      <c r="G75" s="28">
        <v>7.1340277777777779</v>
      </c>
      <c r="H75" s="1">
        <v>10</v>
      </c>
      <c r="I75" s="1" t="s">
        <v>33</v>
      </c>
      <c r="J75" s="4" t="s">
        <v>264</v>
      </c>
      <c r="K75" s="1" t="s">
        <v>37</v>
      </c>
    </row>
    <row r="76" spans="1:11" x14ac:dyDescent="0.2">
      <c r="A76" s="30">
        <f>ROWS(B76:B$389)</f>
        <v>314</v>
      </c>
      <c r="B76" s="6" t="s">
        <v>255</v>
      </c>
      <c r="C76" s="1" t="s">
        <v>343</v>
      </c>
      <c r="D76" s="1" t="s">
        <v>343</v>
      </c>
      <c r="E76" s="1" t="s">
        <v>69</v>
      </c>
      <c r="F76" s="5">
        <v>45266</v>
      </c>
      <c r="G76" s="28">
        <v>0.77361111111111114</v>
      </c>
      <c r="H76" s="1">
        <v>8</v>
      </c>
      <c r="I76" s="1" t="s">
        <v>33</v>
      </c>
      <c r="J76" s="4" t="s">
        <v>256</v>
      </c>
      <c r="K76" s="1" t="s">
        <v>38</v>
      </c>
    </row>
    <row r="77" spans="1:11" ht="14.25" customHeight="1" x14ac:dyDescent="0.2">
      <c r="A77" s="30">
        <f>ROWS(B77:B$389)</f>
        <v>313</v>
      </c>
      <c r="B77" s="6" t="s">
        <v>253</v>
      </c>
      <c r="C77" s="1" t="s">
        <v>20</v>
      </c>
      <c r="D77" s="1" t="s">
        <v>350</v>
      </c>
      <c r="E77" s="1" t="s">
        <v>185</v>
      </c>
      <c r="F77" s="5">
        <v>45260</v>
      </c>
      <c r="G77" s="28">
        <v>8.4212962962962976E-2</v>
      </c>
      <c r="H77" s="1">
        <v>6</v>
      </c>
      <c r="I77" s="1" t="s">
        <v>34</v>
      </c>
      <c r="J77" s="4" t="s">
        <v>254</v>
      </c>
      <c r="K77" s="1" t="s">
        <v>38</v>
      </c>
    </row>
    <row r="78" spans="1:11" x14ac:dyDescent="0.2">
      <c r="A78" s="30">
        <f>ROWS(B78:B$389)</f>
        <v>312</v>
      </c>
      <c r="B78" s="6" t="s">
        <v>252</v>
      </c>
      <c r="C78" s="1" t="s">
        <v>20</v>
      </c>
      <c r="D78" s="1" t="s">
        <v>350</v>
      </c>
      <c r="E78" s="1" t="s">
        <v>21</v>
      </c>
      <c r="F78" s="5">
        <v>45259</v>
      </c>
      <c r="G78" s="28">
        <v>5.8726851851851856E-2</v>
      </c>
      <c r="H78" s="1">
        <v>7</v>
      </c>
      <c r="I78" s="1" t="s">
        <v>32</v>
      </c>
      <c r="J78" s="4" t="s">
        <v>36</v>
      </c>
      <c r="K78" s="1" t="s">
        <v>37</v>
      </c>
    </row>
    <row r="79" spans="1:11" x14ac:dyDescent="0.2">
      <c r="A79" s="30">
        <f>ROWS(B79:B$389)</f>
        <v>311</v>
      </c>
      <c r="B79" s="6" t="s">
        <v>251</v>
      </c>
      <c r="C79" s="1" t="s">
        <v>20</v>
      </c>
      <c r="D79" s="1" t="s">
        <v>20</v>
      </c>
      <c r="E79" s="1" t="s">
        <v>23</v>
      </c>
      <c r="F79" s="5">
        <v>45255</v>
      </c>
      <c r="G79" s="28">
        <v>6.4319444444444445</v>
      </c>
      <c r="H79" s="1">
        <v>10</v>
      </c>
      <c r="I79" s="1" t="s">
        <v>32</v>
      </c>
      <c r="J79" s="4" t="s">
        <v>36</v>
      </c>
      <c r="K79" s="1" t="s">
        <v>37</v>
      </c>
    </row>
    <row r="80" spans="1:11" ht="15" customHeight="1" x14ac:dyDescent="0.2">
      <c r="A80" s="30">
        <f>ROWS(B80:B$389)</f>
        <v>310</v>
      </c>
      <c r="B80" s="6" t="s">
        <v>250</v>
      </c>
      <c r="C80" s="1" t="s">
        <v>20</v>
      </c>
      <c r="D80" s="1" t="s">
        <v>352</v>
      </c>
      <c r="E80" s="1" t="s">
        <v>21</v>
      </c>
      <c r="F80" s="5">
        <v>45253</v>
      </c>
      <c r="G80" s="28">
        <v>0.10984953703703704</v>
      </c>
      <c r="H80" s="1">
        <v>7</v>
      </c>
      <c r="I80" s="1" t="s">
        <v>32</v>
      </c>
      <c r="J80" s="4" t="s">
        <v>36</v>
      </c>
      <c r="K80" s="1" t="s">
        <v>37</v>
      </c>
    </row>
    <row r="81" spans="1:11" ht="14.25" customHeight="1" x14ac:dyDescent="0.2">
      <c r="A81" s="30">
        <f>ROWS(B81:B$389)</f>
        <v>309</v>
      </c>
      <c r="B81" s="6" t="s">
        <v>249</v>
      </c>
      <c r="C81" s="1" t="s">
        <v>341</v>
      </c>
      <c r="D81" s="1" t="s">
        <v>341</v>
      </c>
      <c r="E81" s="1" t="s">
        <v>23</v>
      </c>
      <c r="F81" s="5">
        <v>45252</v>
      </c>
      <c r="G81" s="28">
        <v>1.090300925925926</v>
      </c>
      <c r="H81" s="1">
        <v>9</v>
      </c>
      <c r="I81" s="1" t="s">
        <v>32</v>
      </c>
      <c r="J81" s="4" t="s">
        <v>36</v>
      </c>
      <c r="K81" s="1" t="s">
        <v>37</v>
      </c>
    </row>
    <row r="82" spans="1:11" ht="14.25" customHeight="1" x14ac:dyDescent="0.2">
      <c r="A82" s="30">
        <f>ROWS(B82:B$389)</f>
        <v>308</v>
      </c>
      <c r="B82" s="6" t="s">
        <v>248</v>
      </c>
      <c r="C82" s="1" t="s">
        <v>20</v>
      </c>
      <c r="D82" s="1" t="s">
        <v>352</v>
      </c>
      <c r="E82" s="1" t="s">
        <v>21</v>
      </c>
      <c r="F82" s="5">
        <v>45252</v>
      </c>
      <c r="G82" s="28">
        <v>3.5138888888888893E-2</v>
      </c>
      <c r="H82" s="1">
        <v>6</v>
      </c>
      <c r="I82" s="1" t="s">
        <v>32</v>
      </c>
      <c r="J82" s="4" t="s">
        <v>36</v>
      </c>
      <c r="K82" s="1" t="s">
        <v>37</v>
      </c>
    </row>
    <row r="83" spans="1:11" x14ac:dyDescent="0.2">
      <c r="A83" s="30">
        <f>ROWS(B83:B$389)</f>
        <v>307</v>
      </c>
      <c r="B83" s="6" t="s">
        <v>247</v>
      </c>
      <c r="C83" s="1" t="s">
        <v>341</v>
      </c>
      <c r="D83" s="1" t="s">
        <v>341</v>
      </c>
      <c r="E83" s="1" t="s">
        <v>21</v>
      </c>
      <c r="F83" s="5">
        <v>45228</v>
      </c>
      <c r="G83" s="28">
        <v>0.83333333333333337</v>
      </c>
      <c r="H83" s="1">
        <v>10</v>
      </c>
      <c r="I83" s="1" t="s">
        <v>32</v>
      </c>
      <c r="J83" s="4" t="s">
        <v>36</v>
      </c>
      <c r="K83" s="1" t="s">
        <v>37</v>
      </c>
    </row>
    <row r="84" spans="1:11" ht="14.25" customHeight="1" x14ac:dyDescent="0.2">
      <c r="A84" s="30">
        <f>ROWS(B84:B$389)</f>
        <v>306</v>
      </c>
      <c r="B84" s="6" t="s">
        <v>363</v>
      </c>
      <c r="C84" s="1" t="s">
        <v>341</v>
      </c>
      <c r="D84" s="1" t="s">
        <v>341</v>
      </c>
      <c r="E84" s="1" t="s">
        <v>23</v>
      </c>
      <c r="F84" s="5">
        <v>45228</v>
      </c>
      <c r="G84" s="28">
        <v>1.4104166666666667</v>
      </c>
      <c r="H84" s="1">
        <v>8</v>
      </c>
      <c r="I84" s="1" t="s">
        <v>32</v>
      </c>
      <c r="J84" s="4" t="s">
        <v>36</v>
      </c>
      <c r="K84" s="1" t="s">
        <v>37</v>
      </c>
    </row>
    <row r="85" spans="1:11" x14ac:dyDescent="0.2">
      <c r="A85" s="30">
        <f>ROWS(B85:B$389)</f>
        <v>305</v>
      </c>
      <c r="B85" s="6" t="s">
        <v>246</v>
      </c>
      <c r="C85" s="1" t="s">
        <v>341</v>
      </c>
      <c r="D85" s="1" t="s">
        <v>341</v>
      </c>
      <c r="E85" s="1" t="s">
        <v>23</v>
      </c>
      <c r="F85" s="5">
        <v>45214</v>
      </c>
      <c r="G85" s="28">
        <v>5.9666666666666659</v>
      </c>
      <c r="H85" s="1">
        <v>8</v>
      </c>
      <c r="I85" s="1" t="s">
        <v>32</v>
      </c>
      <c r="J85" s="4" t="s">
        <v>36</v>
      </c>
      <c r="K85" s="1" t="s">
        <v>38</v>
      </c>
    </row>
    <row r="86" spans="1:11" x14ac:dyDescent="0.2">
      <c r="A86" s="30">
        <f>ROWS(B86:B$389)</f>
        <v>304</v>
      </c>
      <c r="B86" s="6" t="s">
        <v>245</v>
      </c>
      <c r="C86" s="1" t="s">
        <v>341</v>
      </c>
      <c r="D86" s="1" t="s">
        <v>341</v>
      </c>
      <c r="E86" s="1" t="s">
        <v>157</v>
      </c>
      <c r="F86" s="5">
        <v>45176</v>
      </c>
      <c r="G86" s="28">
        <v>2.0833333333333335</v>
      </c>
      <c r="H86" s="1">
        <v>9</v>
      </c>
      <c r="I86" s="1" t="s">
        <v>32</v>
      </c>
      <c r="J86" s="4" t="s">
        <v>36</v>
      </c>
      <c r="K86" s="1" t="s">
        <v>37</v>
      </c>
    </row>
    <row r="87" spans="1:11" ht="15" customHeight="1" x14ac:dyDescent="0.25">
      <c r="A87" s="30">
        <f>ROWS(B87:B$389)</f>
        <v>303</v>
      </c>
      <c r="B87" s="6" t="s">
        <v>299</v>
      </c>
      <c r="C87" s="1" t="s">
        <v>341</v>
      </c>
      <c r="D87" s="1" t="s">
        <v>341</v>
      </c>
      <c r="E87" s="1" t="s">
        <v>21</v>
      </c>
      <c r="F87" s="5">
        <v>45174</v>
      </c>
      <c r="G87" s="28">
        <v>0.83333333333333337</v>
      </c>
      <c r="H87" s="1">
        <v>9</v>
      </c>
      <c r="I87" s="1" t="s">
        <v>32</v>
      </c>
      <c r="J87" s="4" t="s">
        <v>36</v>
      </c>
      <c r="K87" s="1" t="s">
        <v>37</v>
      </c>
    </row>
    <row r="88" spans="1:11" x14ac:dyDescent="0.2">
      <c r="A88" s="30">
        <f>ROWS(B88:B$389)</f>
        <v>302</v>
      </c>
      <c r="B88" s="6" t="s">
        <v>243</v>
      </c>
      <c r="C88" s="1" t="s">
        <v>20</v>
      </c>
      <c r="D88" s="1" t="s">
        <v>348</v>
      </c>
      <c r="E88" s="1" t="s">
        <v>21</v>
      </c>
      <c r="F88" s="5">
        <v>45171</v>
      </c>
      <c r="G88" s="28">
        <v>0.28326388888888893</v>
      </c>
      <c r="H88" s="1">
        <v>9</v>
      </c>
      <c r="I88" s="1" t="s">
        <v>32</v>
      </c>
      <c r="J88" s="4" t="s">
        <v>36</v>
      </c>
      <c r="K88" s="1" t="s">
        <v>37</v>
      </c>
    </row>
    <row r="89" spans="1:11" ht="15" x14ac:dyDescent="0.25">
      <c r="A89" s="30">
        <f>ROWS(B89:B$389)</f>
        <v>301</v>
      </c>
      <c r="B89" s="6" t="s">
        <v>305</v>
      </c>
      <c r="C89" s="1" t="s">
        <v>20</v>
      </c>
      <c r="D89" s="1" t="s">
        <v>348</v>
      </c>
      <c r="E89" s="1" t="s">
        <v>23</v>
      </c>
      <c r="F89" s="5">
        <v>45169</v>
      </c>
      <c r="G89" s="28">
        <v>0.85068287037037038</v>
      </c>
      <c r="H89" s="1">
        <v>10</v>
      </c>
      <c r="I89" s="1" t="s">
        <v>32</v>
      </c>
      <c r="J89" s="4" t="s">
        <v>36</v>
      </c>
      <c r="K89" s="1" t="s">
        <v>37</v>
      </c>
    </row>
    <row r="90" spans="1:11" x14ac:dyDescent="0.2">
      <c r="A90" s="30">
        <f>ROWS(B90:B$389)</f>
        <v>300</v>
      </c>
      <c r="B90" s="6" t="s">
        <v>242</v>
      </c>
      <c r="C90" s="1" t="s">
        <v>341</v>
      </c>
      <c r="D90" s="1" t="s">
        <v>341</v>
      </c>
      <c r="E90" s="1" t="s">
        <v>23</v>
      </c>
      <c r="F90" s="5">
        <v>45164</v>
      </c>
      <c r="G90" s="28">
        <v>2.5548611111111112</v>
      </c>
      <c r="H90" s="1">
        <v>8</v>
      </c>
      <c r="I90" s="1" t="s">
        <v>32</v>
      </c>
      <c r="J90" s="4" t="s">
        <v>36</v>
      </c>
      <c r="K90" s="1" t="s">
        <v>37</v>
      </c>
    </row>
    <row r="91" spans="1:11" x14ac:dyDescent="0.2">
      <c r="A91" s="30">
        <f>ROWS(B91:B$389)</f>
        <v>299</v>
      </c>
      <c r="B91" s="6" t="s">
        <v>241</v>
      </c>
      <c r="C91" s="1" t="s">
        <v>343</v>
      </c>
      <c r="D91" s="1" t="s">
        <v>343</v>
      </c>
      <c r="E91" s="1" t="s">
        <v>69</v>
      </c>
      <c r="F91" s="5">
        <v>45148</v>
      </c>
      <c r="G91" s="28">
        <v>0.25</v>
      </c>
      <c r="H91" s="1">
        <v>7</v>
      </c>
      <c r="I91" s="1" t="s">
        <v>33</v>
      </c>
      <c r="J91" s="4" t="s">
        <v>256</v>
      </c>
      <c r="K91" s="1" t="s">
        <v>38</v>
      </c>
    </row>
    <row r="92" spans="1:11" ht="15" customHeight="1" x14ac:dyDescent="0.2">
      <c r="A92" s="30">
        <f>ROWS(B92:B$389)</f>
        <v>298</v>
      </c>
      <c r="B92" s="6" t="s">
        <v>240</v>
      </c>
      <c r="C92" s="1" t="s">
        <v>20</v>
      </c>
      <c r="D92" s="1" t="s">
        <v>354</v>
      </c>
      <c r="E92" s="1" t="s">
        <v>23</v>
      </c>
      <c r="F92" s="5">
        <v>45133</v>
      </c>
      <c r="G92" s="28">
        <v>0.20392361111111112</v>
      </c>
      <c r="H92" s="1">
        <v>8</v>
      </c>
      <c r="I92" s="1" t="s">
        <v>32</v>
      </c>
      <c r="J92" s="4" t="s">
        <v>36</v>
      </c>
      <c r="K92" s="1" t="s">
        <v>38</v>
      </c>
    </row>
    <row r="93" spans="1:11" ht="15" customHeight="1" x14ac:dyDescent="0.2">
      <c r="A93" s="30">
        <f>ROWS(B93:B$389)</f>
        <v>297</v>
      </c>
      <c r="B93" s="6" t="s">
        <v>258</v>
      </c>
      <c r="C93" s="1" t="s">
        <v>341</v>
      </c>
      <c r="D93" s="1" t="s">
        <v>341</v>
      </c>
      <c r="E93" s="1" t="s">
        <v>22</v>
      </c>
      <c r="F93" s="5">
        <v>45127</v>
      </c>
      <c r="G93" s="28">
        <v>11.25</v>
      </c>
      <c r="H93" s="1">
        <v>11</v>
      </c>
      <c r="I93" s="1" t="s">
        <v>32</v>
      </c>
      <c r="J93" s="4" t="s">
        <v>36</v>
      </c>
      <c r="K93" s="1" t="s">
        <v>37</v>
      </c>
    </row>
    <row r="94" spans="1:11" x14ac:dyDescent="0.2">
      <c r="A94" s="30">
        <f>ROWS(B94:B$389)</f>
        <v>296</v>
      </c>
      <c r="B94" s="6" t="s">
        <v>232</v>
      </c>
      <c r="C94" s="1" t="s">
        <v>20</v>
      </c>
      <c r="D94" s="1" t="s">
        <v>359</v>
      </c>
      <c r="E94" s="1" t="s">
        <v>107</v>
      </c>
      <c r="F94" s="5">
        <v>45124</v>
      </c>
      <c r="G94" s="28">
        <v>8.1203703703703708E-2</v>
      </c>
      <c r="H94" s="1">
        <v>6</v>
      </c>
      <c r="I94" s="1" t="s">
        <v>34</v>
      </c>
      <c r="J94" s="4" t="s">
        <v>233</v>
      </c>
      <c r="K94" s="1" t="s">
        <v>37</v>
      </c>
    </row>
    <row r="95" spans="1:11" ht="15" customHeight="1" x14ac:dyDescent="0.2">
      <c r="A95" s="30">
        <f>ROWS(B95:B$389)</f>
        <v>295</v>
      </c>
      <c r="B95" s="6" t="s">
        <v>231</v>
      </c>
      <c r="C95" s="1" t="s">
        <v>20</v>
      </c>
      <c r="D95" s="1" t="s">
        <v>359</v>
      </c>
      <c r="E95" s="1" t="s">
        <v>107</v>
      </c>
      <c r="F95" s="5">
        <v>45121</v>
      </c>
      <c r="G95" s="28">
        <v>4.4259259259259255E-2</v>
      </c>
      <c r="H95" s="1">
        <v>6</v>
      </c>
      <c r="I95" s="1" t="s">
        <v>32</v>
      </c>
      <c r="J95" s="4" t="s">
        <v>233</v>
      </c>
      <c r="K95" s="1" t="s">
        <v>37</v>
      </c>
    </row>
    <row r="96" spans="1:11" x14ac:dyDescent="0.2">
      <c r="A96" s="30">
        <f>ROWS(B96:B$389)</f>
        <v>294</v>
      </c>
      <c r="B96" s="6" t="s">
        <v>230</v>
      </c>
      <c r="C96" s="1" t="s">
        <v>341</v>
      </c>
      <c r="D96" s="1" t="s">
        <v>341</v>
      </c>
      <c r="E96" s="1" t="s">
        <v>22</v>
      </c>
      <c r="F96" s="5">
        <v>45094</v>
      </c>
      <c r="G96" s="28">
        <v>0.83333333333333337</v>
      </c>
      <c r="H96" s="1">
        <v>9</v>
      </c>
      <c r="I96" s="1" t="s">
        <v>32</v>
      </c>
      <c r="J96" s="4" t="s">
        <v>36</v>
      </c>
      <c r="K96" s="1" t="s">
        <v>37</v>
      </c>
    </row>
    <row r="97" spans="1:11" x14ac:dyDescent="0.2">
      <c r="A97" s="30">
        <f>ROWS(B97:B$389)</f>
        <v>293</v>
      </c>
      <c r="B97" s="6" t="s">
        <v>229</v>
      </c>
      <c r="C97" s="1" t="s">
        <v>20</v>
      </c>
      <c r="D97" s="1" t="s">
        <v>20</v>
      </c>
      <c r="E97" s="1" t="s">
        <v>23</v>
      </c>
      <c r="F97" s="5">
        <v>45089</v>
      </c>
      <c r="G97" s="28">
        <v>2.755555555555556</v>
      </c>
      <c r="H97" s="1">
        <v>10</v>
      </c>
      <c r="I97" s="1" t="s">
        <v>32</v>
      </c>
      <c r="J97" s="4" t="s">
        <v>36</v>
      </c>
      <c r="K97" s="1" t="s">
        <v>37</v>
      </c>
    </row>
    <row r="98" spans="1:11" ht="14.25" customHeight="1" x14ac:dyDescent="0.2">
      <c r="A98" s="30">
        <f>ROWS(B98:B$389)</f>
        <v>292</v>
      </c>
      <c r="B98" s="6" t="s">
        <v>228</v>
      </c>
      <c r="C98" s="1" t="s">
        <v>20</v>
      </c>
      <c r="D98" s="1" t="s">
        <v>350</v>
      </c>
      <c r="E98" s="1" t="s">
        <v>22</v>
      </c>
      <c r="F98" s="5">
        <v>45077</v>
      </c>
      <c r="G98" s="28">
        <v>0.8781944444444445</v>
      </c>
      <c r="H98" s="1">
        <v>10</v>
      </c>
      <c r="I98" s="1" t="s">
        <v>32</v>
      </c>
      <c r="J98" s="4" t="s">
        <v>36</v>
      </c>
      <c r="K98" s="1" t="s">
        <v>37</v>
      </c>
    </row>
    <row r="99" spans="1:11" ht="15" x14ac:dyDescent="0.25">
      <c r="A99" s="30">
        <f>ROWS(B99:B$389)</f>
        <v>291</v>
      </c>
      <c r="B99" s="6" t="s">
        <v>300</v>
      </c>
      <c r="C99" s="1" t="s">
        <v>20</v>
      </c>
      <c r="D99" s="1" t="s">
        <v>348</v>
      </c>
      <c r="E99" s="1" t="s">
        <v>21</v>
      </c>
      <c r="F99" s="5">
        <v>45071</v>
      </c>
      <c r="G99" s="28">
        <v>0.93819444444444444</v>
      </c>
      <c r="H99" s="1">
        <v>9</v>
      </c>
      <c r="I99" s="1" t="s">
        <v>32</v>
      </c>
      <c r="J99" s="4" t="s">
        <v>36</v>
      </c>
      <c r="K99" s="1" t="s">
        <v>37</v>
      </c>
    </row>
    <row r="100" spans="1:11" ht="15" x14ac:dyDescent="0.25">
      <c r="A100" s="30">
        <f>ROWS(B100:B$389)</f>
        <v>290</v>
      </c>
      <c r="B100" s="6" t="s">
        <v>328</v>
      </c>
      <c r="C100" s="1" t="s">
        <v>20</v>
      </c>
      <c r="D100" s="1" t="s">
        <v>348</v>
      </c>
      <c r="E100" s="1" t="s">
        <v>27</v>
      </c>
      <c r="F100" s="5">
        <v>45066</v>
      </c>
      <c r="G100" s="28">
        <v>0.33859953703703699</v>
      </c>
      <c r="H100" s="1">
        <v>9</v>
      </c>
      <c r="I100" s="1" t="s">
        <v>32</v>
      </c>
      <c r="J100" s="4" t="s">
        <v>36</v>
      </c>
      <c r="K100" s="1" t="s">
        <v>37</v>
      </c>
    </row>
    <row r="101" spans="1:11" ht="14.25" customHeight="1" x14ac:dyDescent="0.2">
      <c r="A101" s="30">
        <f>ROWS(B101:B$389)</f>
        <v>289</v>
      </c>
      <c r="B101" s="6" t="s">
        <v>223</v>
      </c>
      <c r="C101" s="1" t="s">
        <v>20</v>
      </c>
      <c r="D101" s="1" t="s">
        <v>348</v>
      </c>
      <c r="E101" s="1" t="s">
        <v>30</v>
      </c>
      <c r="F101" s="5">
        <v>45054</v>
      </c>
      <c r="G101" s="28">
        <v>0.47379629629629627</v>
      </c>
      <c r="H101" s="1">
        <v>9</v>
      </c>
      <c r="I101" s="1" t="s">
        <v>34</v>
      </c>
      <c r="J101" s="4" t="s">
        <v>224</v>
      </c>
      <c r="K101" s="1" t="s">
        <v>37</v>
      </c>
    </row>
    <row r="102" spans="1:11" ht="15" customHeight="1" x14ac:dyDescent="0.25">
      <c r="A102" s="30">
        <f>ROWS(B102:B$389)</f>
        <v>288</v>
      </c>
      <c r="B102" s="6" t="s">
        <v>313</v>
      </c>
      <c r="C102" s="1" t="s">
        <v>20</v>
      </c>
      <c r="D102" s="1" t="s">
        <v>348</v>
      </c>
      <c r="E102" s="1" t="s">
        <v>30</v>
      </c>
      <c r="F102" s="5">
        <v>45046</v>
      </c>
      <c r="G102" s="28">
        <v>0.38069444444444445</v>
      </c>
      <c r="H102" s="1">
        <v>10</v>
      </c>
      <c r="I102" s="1" t="s">
        <v>34</v>
      </c>
      <c r="J102" s="4" t="s">
        <v>225</v>
      </c>
      <c r="K102" s="1" t="s">
        <v>37</v>
      </c>
    </row>
    <row r="103" spans="1:11" ht="14.25" customHeight="1" x14ac:dyDescent="0.2">
      <c r="A103" s="30">
        <f>ROWS(B103:B$389)</f>
        <v>287</v>
      </c>
      <c r="B103" s="6" t="s">
        <v>260</v>
      </c>
      <c r="C103" s="1" t="s">
        <v>20</v>
      </c>
      <c r="D103" s="1" t="s">
        <v>20</v>
      </c>
      <c r="E103" s="1" t="s">
        <v>23</v>
      </c>
      <c r="F103" s="5">
        <v>45041</v>
      </c>
      <c r="G103" s="28">
        <v>6.3701388888888886</v>
      </c>
      <c r="H103" s="1">
        <v>11</v>
      </c>
      <c r="I103" s="1" t="s">
        <v>32</v>
      </c>
      <c r="J103" s="4" t="s">
        <v>36</v>
      </c>
      <c r="K103" s="1" t="s">
        <v>37</v>
      </c>
    </row>
    <row r="104" spans="1:11" ht="15" customHeight="1" x14ac:dyDescent="0.2">
      <c r="A104" s="30">
        <f>ROWS(B104:B$389)</f>
        <v>286</v>
      </c>
      <c r="B104" s="6" t="s">
        <v>221</v>
      </c>
      <c r="C104" s="1" t="s">
        <v>20</v>
      </c>
      <c r="D104" s="1" t="s">
        <v>20</v>
      </c>
      <c r="E104" s="1" t="s">
        <v>206</v>
      </c>
      <c r="F104" s="5">
        <v>45011</v>
      </c>
      <c r="G104" s="28">
        <v>2.0611111111111113</v>
      </c>
      <c r="H104" s="1">
        <v>8</v>
      </c>
      <c r="I104" s="1" t="s">
        <v>34</v>
      </c>
      <c r="J104" s="4" t="s">
        <v>36</v>
      </c>
      <c r="K104" s="1" t="s">
        <v>38</v>
      </c>
    </row>
    <row r="105" spans="1:11" ht="15" customHeight="1" x14ac:dyDescent="0.2">
      <c r="A105" s="30">
        <f>ROWS(B105:B$389)</f>
        <v>285</v>
      </c>
      <c r="B105" s="6" t="s">
        <v>220</v>
      </c>
      <c r="C105" s="1" t="s">
        <v>20</v>
      </c>
      <c r="D105" s="1" t="s">
        <v>20</v>
      </c>
      <c r="E105" s="1" t="s">
        <v>23</v>
      </c>
      <c r="F105" s="5">
        <v>45006</v>
      </c>
      <c r="G105" s="28">
        <v>0.5</v>
      </c>
      <c r="H105" s="1">
        <v>7</v>
      </c>
      <c r="I105" s="1" t="s">
        <v>32</v>
      </c>
      <c r="J105" s="4" t="s">
        <v>36</v>
      </c>
      <c r="K105" s="1" t="s">
        <v>37</v>
      </c>
    </row>
    <row r="106" spans="1:11" ht="14.25" customHeight="1" x14ac:dyDescent="0.2">
      <c r="A106" s="30">
        <f>ROWS(B106:B$389)</f>
        <v>284</v>
      </c>
      <c r="B106" s="6" t="s">
        <v>262</v>
      </c>
      <c r="C106" s="1" t="s">
        <v>20</v>
      </c>
      <c r="D106" s="1" t="s">
        <v>350</v>
      </c>
      <c r="E106" s="1" t="s">
        <v>23</v>
      </c>
      <c r="F106" s="5">
        <v>44981</v>
      </c>
      <c r="G106" s="28">
        <v>0.90606481481481482</v>
      </c>
      <c r="H106" s="1">
        <v>9</v>
      </c>
      <c r="I106" s="1" t="s">
        <v>32</v>
      </c>
      <c r="J106" s="4" t="s">
        <v>36</v>
      </c>
      <c r="K106" s="1" t="s">
        <v>38</v>
      </c>
    </row>
    <row r="107" spans="1:11" ht="15" customHeight="1" x14ac:dyDescent="0.2">
      <c r="A107" s="30">
        <f>ROWS(B107:B$389)</f>
        <v>283</v>
      </c>
      <c r="B107" s="6" t="s">
        <v>364</v>
      </c>
      <c r="C107" s="1" t="s">
        <v>341</v>
      </c>
      <c r="D107" s="1" t="s">
        <v>341</v>
      </c>
      <c r="E107" s="1" t="s">
        <v>23</v>
      </c>
      <c r="F107" s="5">
        <v>44948</v>
      </c>
      <c r="G107" s="28">
        <v>0.62222222222222223</v>
      </c>
      <c r="H107" s="1">
        <v>10</v>
      </c>
      <c r="I107" s="1" t="s">
        <v>32</v>
      </c>
      <c r="J107" s="4" t="s">
        <v>36</v>
      </c>
      <c r="K107" s="1" t="s">
        <v>37</v>
      </c>
    </row>
    <row r="108" spans="1:11" x14ac:dyDescent="0.2">
      <c r="A108" s="30">
        <f>ROWS(B108:B$389)</f>
        <v>282</v>
      </c>
      <c r="B108" s="6" t="s">
        <v>218</v>
      </c>
      <c r="C108" s="1" t="s">
        <v>341</v>
      </c>
      <c r="D108" s="1" t="s">
        <v>341</v>
      </c>
      <c r="E108" s="1" t="s">
        <v>23</v>
      </c>
      <c r="F108" s="5">
        <v>44942</v>
      </c>
      <c r="G108" s="28">
        <v>1.4583333333333333</v>
      </c>
      <c r="H108" s="1">
        <v>8</v>
      </c>
      <c r="I108" s="1" t="s">
        <v>52</v>
      </c>
      <c r="J108" s="4" t="s">
        <v>217</v>
      </c>
      <c r="K108" s="1" t="s">
        <v>37</v>
      </c>
    </row>
    <row r="109" spans="1:11" ht="14.25" customHeight="1" x14ac:dyDescent="0.2">
      <c r="A109" s="30">
        <f>ROWS(B109:B$389)</f>
        <v>281</v>
      </c>
      <c r="B109" s="6" t="s">
        <v>219</v>
      </c>
      <c r="C109" s="1" t="s">
        <v>341</v>
      </c>
      <c r="D109" s="1" t="s">
        <v>341</v>
      </c>
      <c r="E109" s="1" t="s">
        <v>23</v>
      </c>
      <c r="F109" s="5">
        <v>44929</v>
      </c>
      <c r="G109" s="28">
        <v>5.9097222222222223</v>
      </c>
      <c r="H109" s="1">
        <v>10</v>
      </c>
      <c r="I109" s="1" t="s">
        <v>32</v>
      </c>
      <c r="J109" s="4" t="s">
        <v>36</v>
      </c>
      <c r="K109" s="1" t="s">
        <v>37</v>
      </c>
    </row>
    <row r="110" spans="1:11" ht="14.25" customHeight="1" x14ac:dyDescent="0.25">
      <c r="A110" s="30">
        <f>ROWS(B110:B$389)</f>
        <v>280</v>
      </c>
      <c r="B110" s="6" t="s">
        <v>423</v>
      </c>
      <c r="C110" s="1" t="s">
        <v>341</v>
      </c>
      <c r="D110" s="1" t="s">
        <v>341</v>
      </c>
      <c r="E110" s="1" t="s">
        <v>23</v>
      </c>
      <c r="F110" s="5">
        <v>44898</v>
      </c>
      <c r="G110" s="28">
        <v>5.583333333333333</v>
      </c>
      <c r="H110" s="1">
        <v>4</v>
      </c>
      <c r="I110" s="1" t="s">
        <v>33</v>
      </c>
      <c r="J110" s="4" t="s">
        <v>36</v>
      </c>
      <c r="K110" s="1" t="s">
        <v>37</v>
      </c>
    </row>
    <row r="111" spans="1:11" ht="15" x14ac:dyDescent="0.25">
      <c r="A111" s="30">
        <f>ROWS(B111:B$389)</f>
        <v>279</v>
      </c>
      <c r="B111" s="6" t="s">
        <v>306</v>
      </c>
      <c r="C111" s="1" t="s">
        <v>20</v>
      </c>
      <c r="D111" s="1" t="s">
        <v>20</v>
      </c>
      <c r="E111" s="1" t="s">
        <v>23</v>
      </c>
      <c r="F111" s="5">
        <v>44883</v>
      </c>
      <c r="G111" s="28">
        <v>1.7909722222222222</v>
      </c>
      <c r="H111" s="1">
        <v>8</v>
      </c>
      <c r="I111" s="1" t="s">
        <v>32</v>
      </c>
      <c r="J111" s="4" t="s">
        <v>36</v>
      </c>
      <c r="K111" s="1" t="s">
        <v>37</v>
      </c>
    </row>
    <row r="112" spans="1:11" ht="14.25" customHeight="1" x14ac:dyDescent="0.25">
      <c r="A112" s="30">
        <f>ROWS(B112:B$389)</f>
        <v>278</v>
      </c>
      <c r="B112" s="6" t="s">
        <v>297</v>
      </c>
      <c r="C112" s="1" t="s">
        <v>20</v>
      </c>
      <c r="D112" s="1" t="s">
        <v>20</v>
      </c>
      <c r="E112" s="1" t="s">
        <v>22</v>
      </c>
      <c r="F112" s="5">
        <v>44882</v>
      </c>
      <c r="G112" s="28">
        <v>3.6469097222222224</v>
      </c>
      <c r="H112" s="1">
        <v>8</v>
      </c>
      <c r="I112" s="1" t="s">
        <v>34</v>
      </c>
      <c r="J112" s="4" t="s">
        <v>36</v>
      </c>
      <c r="K112" s="1" t="s">
        <v>37</v>
      </c>
    </row>
    <row r="113" spans="1:11" x14ac:dyDescent="0.2">
      <c r="A113" s="30">
        <f>ROWS(B113:B$389)</f>
        <v>277</v>
      </c>
      <c r="B113" s="6" t="s">
        <v>215</v>
      </c>
      <c r="C113" s="1" t="s">
        <v>20</v>
      </c>
      <c r="D113" s="1" t="s">
        <v>20</v>
      </c>
      <c r="E113" s="1" t="s">
        <v>27</v>
      </c>
      <c r="F113" s="5">
        <v>44864</v>
      </c>
      <c r="G113" s="28">
        <v>0.65763888888888888</v>
      </c>
      <c r="H113" s="1">
        <v>7</v>
      </c>
      <c r="I113" s="1" t="s">
        <v>33</v>
      </c>
      <c r="J113" s="4" t="s">
        <v>36</v>
      </c>
      <c r="K113" s="1" t="s">
        <v>37</v>
      </c>
    </row>
    <row r="114" spans="1:11" ht="15" x14ac:dyDescent="0.25">
      <c r="A114" s="30">
        <f>ROWS(B114:B$389)</f>
        <v>276</v>
      </c>
      <c r="B114" s="6" t="s">
        <v>422</v>
      </c>
      <c r="C114" s="1" t="s">
        <v>20</v>
      </c>
      <c r="D114" s="1" t="s">
        <v>20</v>
      </c>
      <c r="E114" s="1" t="s">
        <v>22</v>
      </c>
      <c r="F114" s="5">
        <v>44839</v>
      </c>
      <c r="G114" s="28">
        <v>9.2305555555555561</v>
      </c>
      <c r="H114" s="1">
        <v>9</v>
      </c>
      <c r="I114" s="1" t="s">
        <v>34</v>
      </c>
      <c r="J114" s="4" t="s">
        <v>36</v>
      </c>
      <c r="K114" s="1" t="s">
        <v>37</v>
      </c>
    </row>
    <row r="115" spans="1:11" ht="15" x14ac:dyDescent="0.25">
      <c r="A115" s="30">
        <f>ROWS(B115:B$389)</f>
        <v>275</v>
      </c>
      <c r="B115" s="6" t="s">
        <v>295</v>
      </c>
      <c r="C115" s="1" t="s">
        <v>20</v>
      </c>
      <c r="D115" s="1" t="s">
        <v>360</v>
      </c>
      <c r="E115" s="1" t="s">
        <v>24</v>
      </c>
      <c r="F115" s="5">
        <v>44832</v>
      </c>
      <c r="G115" s="28">
        <v>0.41645833333333332</v>
      </c>
      <c r="H115" s="1">
        <v>10</v>
      </c>
      <c r="I115" s="1" t="s">
        <v>32</v>
      </c>
      <c r="J115" s="4" t="s">
        <v>36</v>
      </c>
      <c r="K115" s="1" t="s">
        <v>37</v>
      </c>
    </row>
    <row r="116" spans="1:11" ht="14.25" customHeight="1" x14ac:dyDescent="0.2">
      <c r="A116" s="30">
        <f>ROWS(B116:B$389)</f>
        <v>274</v>
      </c>
      <c r="B116" s="6" t="s">
        <v>214</v>
      </c>
      <c r="C116" s="1" t="s">
        <v>20</v>
      </c>
      <c r="D116" s="1" t="s">
        <v>20</v>
      </c>
      <c r="E116" s="1" t="s">
        <v>23</v>
      </c>
      <c r="F116" s="5">
        <v>44829</v>
      </c>
      <c r="G116" s="28">
        <v>2.2576388888888888</v>
      </c>
      <c r="H116" s="1">
        <v>8</v>
      </c>
      <c r="I116" s="1" t="s">
        <v>32</v>
      </c>
      <c r="J116" s="4" t="s">
        <v>36</v>
      </c>
      <c r="K116" s="1" t="s">
        <v>37</v>
      </c>
    </row>
    <row r="117" spans="1:11" ht="14.25" customHeight="1" x14ac:dyDescent="0.2">
      <c r="A117" s="30">
        <f>ROWS(B117:B$389)</f>
        <v>273</v>
      </c>
      <c r="B117" s="6" t="s">
        <v>213</v>
      </c>
      <c r="C117" s="1" t="s">
        <v>20</v>
      </c>
      <c r="D117" s="1" t="s">
        <v>20</v>
      </c>
      <c r="E117" s="1" t="s">
        <v>23</v>
      </c>
      <c r="F117" s="5">
        <v>44818</v>
      </c>
      <c r="G117" s="28">
        <v>1.8694444444444445</v>
      </c>
      <c r="H117" s="1">
        <v>9</v>
      </c>
      <c r="I117" s="1" t="s">
        <v>32</v>
      </c>
      <c r="J117" s="4" t="s">
        <v>36</v>
      </c>
      <c r="K117" s="1" t="s">
        <v>37</v>
      </c>
    </row>
    <row r="118" spans="1:11" ht="15" customHeight="1" x14ac:dyDescent="0.2">
      <c r="A118" s="30">
        <f>ROWS(B118:B$389)</f>
        <v>272</v>
      </c>
      <c r="B118" s="6" t="s">
        <v>212</v>
      </c>
      <c r="C118" s="1" t="s">
        <v>20</v>
      </c>
      <c r="D118" s="1" t="s">
        <v>20</v>
      </c>
      <c r="E118" s="1" t="s">
        <v>23</v>
      </c>
      <c r="F118" s="5">
        <v>44801</v>
      </c>
      <c r="G118" s="28">
        <v>0.83680555555555547</v>
      </c>
      <c r="H118" s="1">
        <v>7</v>
      </c>
      <c r="I118" s="1" t="s">
        <v>32</v>
      </c>
      <c r="J118" s="4" t="s">
        <v>36</v>
      </c>
      <c r="K118" s="1" t="s">
        <v>37</v>
      </c>
    </row>
    <row r="119" spans="1:11" ht="15" x14ac:dyDescent="0.25">
      <c r="A119" s="30">
        <f>ROWS(B119:B$389)</f>
        <v>271</v>
      </c>
      <c r="B119" s="6" t="s">
        <v>326</v>
      </c>
      <c r="C119" s="1" t="s">
        <v>20</v>
      </c>
      <c r="D119" s="1" t="s">
        <v>360</v>
      </c>
      <c r="E119" s="1" t="s">
        <v>23</v>
      </c>
      <c r="F119" s="5">
        <v>44792</v>
      </c>
      <c r="G119" s="28">
        <v>2.0279861111111113</v>
      </c>
      <c r="H119" s="1">
        <v>10</v>
      </c>
      <c r="I119" s="1" t="s">
        <v>34</v>
      </c>
      <c r="J119" s="4" t="s">
        <v>36</v>
      </c>
      <c r="K119" s="1" t="s">
        <v>37</v>
      </c>
    </row>
    <row r="120" spans="1:11" x14ac:dyDescent="0.2">
      <c r="A120" s="30">
        <f>ROWS(B120:B$389)</f>
        <v>270</v>
      </c>
      <c r="B120" s="6" t="s">
        <v>211</v>
      </c>
      <c r="C120" s="1" t="s">
        <v>20</v>
      </c>
      <c r="D120" s="1" t="s">
        <v>20</v>
      </c>
      <c r="E120" s="1" t="s">
        <v>21</v>
      </c>
      <c r="F120" s="5">
        <v>44787</v>
      </c>
      <c r="G120" s="28">
        <v>0.39583333333333331</v>
      </c>
      <c r="H120" s="1">
        <v>8</v>
      </c>
      <c r="I120" s="1" t="s">
        <v>32</v>
      </c>
      <c r="J120" s="4" t="s">
        <v>36</v>
      </c>
      <c r="K120" s="1" t="s">
        <v>38</v>
      </c>
    </row>
    <row r="121" spans="1:11" ht="14.25" customHeight="1" x14ac:dyDescent="0.2">
      <c r="A121" s="30">
        <f>ROWS(B121:B$389)</f>
        <v>269</v>
      </c>
      <c r="B121" s="6" t="s">
        <v>210</v>
      </c>
      <c r="C121" s="1" t="s">
        <v>20</v>
      </c>
      <c r="D121" s="1" t="s">
        <v>20</v>
      </c>
      <c r="E121" s="1" t="s">
        <v>23</v>
      </c>
      <c r="F121" s="5">
        <v>44787</v>
      </c>
      <c r="G121" s="28">
        <v>1.0173611111111112</v>
      </c>
      <c r="H121" s="1">
        <v>7</v>
      </c>
      <c r="I121" s="1" t="s">
        <v>32</v>
      </c>
      <c r="J121" s="4" t="s">
        <v>36</v>
      </c>
      <c r="K121" s="1" t="s">
        <v>37</v>
      </c>
    </row>
    <row r="122" spans="1:11" ht="15" customHeight="1" x14ac:dyDescent="0.2">
      <c r="A122" s="30">
        <f>ROWS(B122:B$389)</f>
        <v>268</v>
      </c>
      <c r="B122" s="6" t="s">
        <v>209</v>
      </c>
      <c r="C122" s="1" t="s">
        <v>20</v>
      </c>
      <c r="D122" s="1" t="s">
        <v>20</v>
      </c>
      <c r="E122" s="1" t="s">
        <v>23</v>
      </c>
      <c r="F122" s="5">
        <v>44775</v>
      </c>
      <c r="G122" s="28">
        <v>2.5</v>
      </c>
      <c r="H122" s="1">
        <v>11</v>
      </c>
      <c r="I122" s="1" t="s">
        <v>32</v>
      </c>
      <c r="J122" s="4" t="s">
        <v>36</v>
      </c>
      <c r="K122" s="1" t="s">
        <v>37</v>
      </c>
    </row>
    <row r="123" spans="1:11" x14ac:dyDescent="0.2">
      <c r="A123" s="30">
        <f>ROWS(B123:B$389)</f>
        <v>267</v>
      </c>
      <c r="B123" s="6" t="s">
        <v>208</v>
      </c>
      <c r="C123" s="1" t="s">
        <v>20</v>
      </c>
      <c r="D123" s="1" t="s">
        <v>20</v>
      </c>
      <c r="E123" s="1" t="s">
        <v>65</v>
      </c>
      <c r="F123" s="5">
        <v>44770</v>
      </c>
      <c r="G123" s="28">
        <v>8.3333333333333329E-2</v>
      </c>
      <c r="H123" s="1">
        <v>3</v>
      </c>
      <c r="I123" s="1" t="s">
        <v>33</v>
      </c>
      <c r="J123" s="4" t="s">
        <v>36</v>
      </c>
      <c r="K123" s="1" t="s">
        <v>37</v>
      </c>
    </row>
    <row r="124" spans="1:11" x14ac:dyDescent="0.2">
      <c r="A124" s="30">
        <f>ROWS(B124:B$389)</f>
        <v>266</v>
      </c>
      <c r="B124" s="6" t="s">
        <v>207</v>
      </c>
      <c r="C124" s="1" t="s">
        <v>20</v>
      </c>
      <c r="D124" s="1" t="s">
        <v>20</v>
      </c>
      <c r="E124" s="1" t="s">
        <v>21</v>
      </c>
      <c r="F124" s="5">
        <v>44765</v>
      </c>
      <c r="G124" s="28">
        <v>0.54166666666666663</v>
      </c>
      <c r="H124" s="1">
        <v>7</v>
      </c>
      <c r="I124" s="1" t="s">
        <v>32</v>
      </c>
      <c r="J124" s="4" t="s">
        <v>36</v>
      </c>
      <c r="K124" s="1" t="s">
        <v>37</v>
      </c>
    </row>
    <row r="125" spans="1:11" ht="15" x14ac:dyDescent="0.25">
      <c r="A125" s="30">
        <f>ROWS(B125:B$389)</f>
        <v>265</v>
      </c>
      <c r="B125" s="6" t="s">
        <v>317</v>
      </c>
      <c r="C125" s="1" t="s">
        <v>20</v>
      </c>
      <c r="D125" s="1" t="s">
        <v>20</v>
      </c>
      <c r="E125" s="1" t="s">
        <v>87</v>
      </c>
      <c r="F125" s="5">
        <v>44759</v>
      </c>
      <c r="G125" s="28">
        <v>0.33333333333333331</v>
      </c>
      <c r="H125" s="1">
        <v>9</v>
      </c>
      <c r="I125" s="1" t="s">
        <v>32</v>
      </c>
      <c r="J125" s="4" t="s">
        <v>36</v>
      </c>
      <c r="K125" s="1" t="s">
        <v>38</v>
      </c>
    </row>
    <row r="126" spans="1:11" x14ac:dyDescent="0.2">
      <c r="A126" s="30">
        <f>ROWS(B126:B$389)</f>
        <v>264</v>
      </c>
      <c r="B126" s="6" t="s">
        <v>205</v>
      </c>
      <c r="C126" s="1" t="s">
        <v>20</v>
      </c>
      <c r="D126" s="1" t="s">
        <v>20</v>
      </c>
      <c r="E126" s="1" t="s">
        <v>206</v>
      </c>
      <c r="F126" s="5">
        <v>44757</v>
      </c>
      <c r="G126" s="28">
        <v>1.9166666666666667</v>
      </c>
      <c r="H126" s="1">
        <v>8</v>
      </c>
      <c r="I126" s="1" t="s">
        <v>52</v>
      </c>
      <c r="J126" s="4" t="s">
        <v>36</v>
      </c>
      <c r="K126" s="1" t="s">
        <v>37</v>
      </c>
    </row>
    <row r="127" spans="1:11" ht="14.25" customHeight="1" x14ac:dyDescent="0.2">
      <c r="A127" s="30">
        <f>ROWS(B127:B$389)</f>
        <v>263</v>
      </c>
      <c r="B127" s="6" t="s">
        <v>204</v>
      </c>
      <c r="C127" s="1" t="s">
        <v>20</v>
      </c>
      <c r="D127" s="1" t="s">
        <v>20</v>
      </c>
      <c r="E127" s="1" t="s">
        <v>22</v>
      </c>
      <c r="F127" s="5">
        <v>44748</v>
      </c>
      <c r="G127" s="28">
        <v>0.12013888888888889</v>
      </c>
      <c r="H127" s="1">
        <v>4</v>
      </c>
      <c r="I127" s="1" t="s">
        <v>32</v>
      </c>
      <c r="J127" s="4" t="s">
        <v>66</v>
      </c>
      <c r="K127" s="1" t="s">
        <v>37</v>
      </c>
    </row>
    <row r="128" spans="1:11" x14ac:dyDescent="0.2">
      <c r="A128" s="30">
        <f>ROWS(B128:B$389)</f>
        <v>262</v>
      </c>
      <c r="B128" s="6" t="s">
        <v>203</v>
      </c>
      <c r="C128" s="1" t="s">
        <v>20</v>
      </c>
      <c r="D128" s="1" t="s">
        <v>20</v>
      </c>
      <c r="E128" s="1" t="s">
        <v>23</v>
      </c>
      <c r="F128" s="5">
        <v>44747</v>
      </c>
      <c r="G128" s="28">
        <v>0.72222222222222221</v>
      </c>
      <c r="H128" s="1">
        <v>7</v>
      </c>
      <c r="I128" s="1" t="s">
        <v>32</v>
      </c>
      <c r="J128" s="4" t="s">
        <v>36</v>
      </c>
      <c r="K128" s="1" t="s">
        <v>37</v>
      </c>
    </row>
    <row r="129" spans="1:11" ht="15" customHeight="1" x14ac:dyDescent="0.25">
      <c r="A129" s="30">
        <f>ROWS(B129:B$389)</f>
        <v>261</v>
      </c>
      <c r="B129" s="6" t="s">
        <v>475</v>
      </c>
      <c r="C129" s="1" t="s">
        <v>20</v>
      </c>
      <c r="D129" s="1" t="s">
        <v>20</v>
      </c>
      <c r="E129" s="1" t="s">
        <v>22</v>
      </c>
      <c r="F129" s="5">
        <v>44741</v>
      </c>
      <c r="G129" s="28">
        <v>0.41666666666666669</v>
      </c>
      <c r="H129" s="1">
        <v>8</v>
      </c>
      <c r="I129" s="1" t="s">
        <v>32</v>
      </c>
      <c r="J129" s="4" t="s">
        <v>36</v>
      </c>
      <c r="K129" s="1" t="s">
        <v>37</v>
      </c>
    </row>
    <row r="130" spans="1:11" ht="15" x14ac:dyDescent="0.25">
      <c r="A130" s="30">
        <f>ROWS(B130:B$389)</f>
        <v>260</v>
      </c>
      <c r="B130" s="6" t="s">
        <v>294</v>
      </c>
      <c r="C130" s="1" t="s">
        <v>20</v>
      </c>
      <c r="D130" s="1" t="s">
        <v>20</v>
      </c>
      <c r="E130" s="1" t="s">
        <v>24</v>
      </c>
      <c r="F130" s="5">
        <v>44729</v>
      </c>
      <c r="G130" s="28">
        <v>1.4132638888888891</v>
      </c>
      <c r="H130" s="1">
        <v>9</v>
      </c>
      <c r="I130" s="1" t="s">
        <v>32</v>
      </c>
      <c r="J130" s="4" t="s">
        <v>36</v>
      </c>
      <c r="K130" s="1" t="s">
        <v>37</v>
      </c>
    </row>
    <row r="131" spans="1:11" x14ac:dyDescent="0.2">
      <c r="A131" s="30">
        <f>ROWS(B131:B$389)</f>
        <v>259</v>
      </c>
      <c r="B131" s="6" t="s">
        <v>202</v>
      </c>
      <c r="C131" s="1" t="s">
        <v>20</v>
      </c>
      <c r="D131" s="1" t="s">
        <v>20</v>
      </c>
      <c r="E131" s="1" t="s">
        <v>23</v>
      </c>
      <c r="F131" s="5">
        <v>44723</v>
      </c>
      <c r="G131" s="28">
        <v>6.875</v>
      </c>
      <c r="H131" s="1">
        <v>11</v>
      </c>
      <c r="I131" s="1" t="s">
        <v>32</v>
      </c>
      <c r="J131" s="4" t="s">
        <v>36</v>
      </c>
      <c r="K131" s="1" t="s">
        <v>37</v>
      </c>
    </row>
    <row r="132" spans="1:11" ht="15" x14ac:dyDescent="0.25">
      <c r="A132" s="30">
        <f>ROWS(B132:B$389)</f>
        <v>258</v>
      </c>
      <c r="B132" s="6" t="s">
        <v>420</v>
      </c>
      <c r="C132" s="1" t="s">
        <v>20</v>
      </c>
      <c r="D132" s="1" t="s">
        <v>20</v>
      </c>
      <c r="E132" s="1" t="s">
        <v>120</v>
      </c>
      <c r="F132" s="5">
        <v>44717</v>
      </c>
      <c r="G132" s="28">
        <v>1.1465277777777778</v>
      </c>
      <c r="H132" s="1">
        <v>9</v>
      </c>
      <c r="I132" s="1" t="s">
        <v>32</v>
      </c>
      <c r="J132" s="4" t="s">
        <v>66</v>
      </c>
      <c r="K132" s="1" t="s">
        <v>37</v>
      </c>
    </row>
    <row r="133" spans="1:11" ht="14.25" customHeight="1" x14ac:dyDescent="0.2">
      <c r="A133" s="30">
        <f>ROWS(B133:B$389)</f>
        <v>257</v>
      </c>
      <c r="B133" s="6" t="s">
        <v>201</v>
      </c>
      <c r="C133" s="1" t="s">
        <v>20</v>
      </c>
      <c r="D133" s="1" t="s">
        <v>20</v>
      </c>
      <c r="E133" s="1" t="s">
        <v>87</v>
      </c>
      <c r="F133" s="5">
        <v>44695</v>
      </c>
      <c r="G133" s="28">
        <v>0.59722222222222221</v>
      </c>
      <c r="H133" s="1">
        <v>8</v>
      </c>
      <c r="I133" s="1" t="s">
        <v>32</v>
      </c>
      <c r="J133" s="4" t="s">
        <v>36</v>
      </c>
      <c r="K133" s="1" t="s">
        <v>37</v>
      </c>
    </row>
    <row r="134" spans="1:11" x14ac:dyDescent="0.2">
      <c r="A134" s="30">
        <f>ROWS(B134:B$389)</f>
        <v>256</v>
      </c>
      <c r="B134" s="6" t="s">
        <v>200</v>
      </c>
      <c r="C134" s="1" t="s">
        <v>20</v>
      </c>
      <c r="D134" s="1" t="s">
        <v>20</v>
      </c>
      <c r="E134" s="1" t="s">
        <v>22</v>
      </c>
      <c r="F134" s="5">
        <v>44690</v>
      </c>
      <c r="G134" s="28">
        <v>1.8125</v>
      </c>
      <c r="H134" s="1">
        <v>8</v>
      </c>
      <c r="I134" s="1" t="s">
        <v>34</v>
      </c>
      <c r="J134" s="4" t="s">
        <v>36</v>
      </c>
      <c r="K134" s="1" t="s">
        <v>37</v>
      </c>
    </row>
    <row r="135" spans="1:11" x14ac:dyDescent="0.2">
      <c r="A135" s="30">
        <f>ROWS(B135:B$389)</f>
        <v>255</v>
      </c>
      <c r="B135" s="6" t="s">
        <v>199</v>
      </c>
      <c r="C135" s="1" t="s">
        <v>20</v>
      </c>
      <c r="D135" s="1" t="s">
        <v>20</v>
      </c>
      <c r="E135" s="1" t="s">
        <v>23</v>
      </c>
      <c r="F135" s="5">
        <v>44687</v>
      </c>
      <c r="G135" s="28">
        <v>0.8539699074074073</v>
      </c>
      <c r="H135" s="1">
        <v>8</v>
      </c>
      <c r="I135" s="1" t="s">
        <v>32</v>
      </c>
      <c r="J135" s="4" t="s">
        <v>36</v>
      </c>
      <c r="K135" s="1" t="s">
        <v>37</v>
      </c>
    </row>
    <row r="136" spans="1:11" x14ac:dyDescent="0.2">
      <c r="A136" s="30">
        <f>ROWS(B136:B$389)</f>
        <v>254</v>
      </c>
      <c r="B136" s="6" t="s">
        <v>196</v>
      </c>
      <c r="C136" s="1" t="s">
        <v>20</v>
      </c>
      <c r="D136" s="1" t="s">
        <v>20</v>
      </c>
      <c r="E136" s="1" t="s">
        <v>23</v>
      </c>
      <c r="F136" s="5">
        <v>44682</v>
      </c>
      <c r="G136" s="28">
        <v>1.2916666666666667</v>
      </c>
      <c r="H136" s="1">
        <v>7</v>
      </c>
      <c r="I136" s="1" t="s">
        <v>32</v>
      </c>
      <c r="J136" s="4" t="s">
        <v>197</v>
      </c>
      <c r="K136" s="1" t="s">
        <v>37</v>
      </c>
    </row>
    <row r="137" spans="1:11" x14ac:dyDescent="0.2">
      <c r="A137" s="30">
        <f>ROWS(B137:B$389)</f>
        <v>253</v>
      </c>
      <c r="B137" s="6" t="s">
        <v>195</v>
      </c>
      <c r="C137" s="1" t="s">
        <v>20</v>
      </c>
      <c r="D137" s="1" t="s">
        <v>20</v>
      </c>
      <c r="E137" s="1" t="s">
        <v>22</v>
      </c>
      <c r="F137" s="5">
        <v>44679</v>
      </c>
      <c r="G137" s="28">
        <v>0.5</v>
      </c>
      <c r="H137" s="1">
        <v>7</v>
      </c>
      <c r="I137" s="1" t="s">
        <v>34</v>
      </c>
      <c r="J137" s="4" t="s">
        <v>36</v>
      </c>
      <c r="K137" s="1" t="s">
        <v>37</v>
      </c>
    </row>
    <row r="138" spans="1:11" ht="15" customHeight="1" x14ac:dyDescent="0.25">
      <c r="A138" s="30">
        <f>ROWS(B138:B$389)</f>
        <v>252</v>
      </c>
      <c r="B138" s="6" t="s">
        <v>419</v>
      </c>
      <c r="C138" s="1" t="s">
        <v>20</v>
      </c>
      <c r="D138" s="1" t="s">
        <v>20</v>
      </c>
      <c r="E138" s="1" t="s">
        <v>87</v>
      </c>
      <c r="F138" s="5">
        <v>44678</v>
      </c>
      <c r="G138" s="28">
        <v>0.10416666666666667</v>
      </c>
      <c r="H138" s="1">
        <v>7</v>
      </c>
      <c r="I138" s="1" t="s">
        <v>34</v>
      </c>
      <c r="J138" s="4" t="s">
        <v>36</v>
      </c>
      <c r="K138" s="1" t="s">
        <v>38</v>
      </c>
    </row>
    <row r="139" spans="1:11" x14ac:dyDescent="0.2">
      <c r="A139" s="30">
        <f>ROWS(B139:B$389)</f>
        <v>251</v>
      </c>
      <c r="B139" s="6" t="s">
        <v>194</v>
      </c>
      <c r="C139" s="1" t="s">
        <v>20</v>
      </c>
      <c r="D139" s="1" t="s">
        <v>20</v>
      </c>
      <c r="E139" s="1" t="s">
        <v>24</v>
      </c>
      <c r="F139" s="5">
        <v>44677</v>
      </c>
      <c r="G139" s="28">
        <v>0.52083333333333337</v>
      </c>
      <c r="H139" s="1">
        <v>7</v>
      </c>
      <c r="I139" s="1" t="s">
        <v>32</v>
      </c>
      <c r="J139" s="4" t="s">
        <v>36</v>
      </c>
      <c r="K139" s="1" t="s">
        <v>37</v>
      </c>
    </row>
    <row r="140" spans="1:11" ht="15" customHeight="1" x14ac:dyDescent="0.2">
      <c r="A140" s="30">
        <f>ROWS(B140:B$389)</f>
        <v>250</v>
      </c>
      <c r="B140" s="6" t="s">
        <v>193</v>
      </c>
      <c r="C140" s="1" t="s">
        <v>20</v>
      </c>
      <c r="D140" s="1" t="s">
        <v>20</v>
      </c>
      <c r="E140" s="1" t="s">
        <v>177</v>
      </c>
      <c r="F140" s="5">
        <v>44672</v>
      </c>
      <c r="G140" s="28">
        <v>1.1666666666666667</v>
      </c>
      <c r="H140" s="1">
        <v>7</v>
      </c>
      <c r="I140" s="1" t="s">
        <v>33</v>
      </c>
      <c r="J140" s="4" t="s">
        <v>36</v>
      </c>
      <c r="K140" s="1" t="s">
        <v>37</v>
      </c>
    </row>
    <row r="141" spans="1:11" x14ac:dyDescent="0.2">
      <c r="A141" s="30">
        <f>ROWS(B141:B$389)</f>
        <v>249</v>
      </c>
      <c r="B141" s="6" t="s">
        <v>192</v>
      </c>
      <c r="C141" s="1" t="s">
        <v>20</v>
      </c>
      <c r="D141" s="1" t="s">
        <v>20</v>
      </c>
      <c r="E141" s="1" t="s">
        <v>23</v>
      </c>
      <c r="F141" s="5">
        <v>44652</v>
      </c>
      <c r="G141" s="28">
        <v>1.3125</v>
      </c>
      <c r="H141" s="1">
        <v>11</v>
      </c>
      <c r="I141" s="1" t="s">
        <v>34</v>
      </c>
      <c r="J141" s="4" t="s">
        <v>36</v>
      </c>
      <c r="K141" s="1" t="s">
        <v>37</v>
      </c>
    </row>
    <row r="142" spans="1:11" ht="14.25" customHeight="1" x14ac:dyDescent="0.2">
      <c r="A142" s="30">
        <f>ROWS(B142:B$389)</f>
        <v>248</v>
      </c>
      <c r="B142" s="6" t="s">
        <v>191</v>
      </c>
      <c r="C142" s="1" t="s">
        <v>341</v>
      </c>
      <c r="D142" s="1" t="s">
        <v>341</v>
      </c>
      <c r="E142" s="1" t="s">
        <v>23</v>
      </c>
      <c r="F142" s="5">
        <v>44621</v>
      </c>
      <c r="G142" s="28">
        <v>4.9305555555555554</v>
      </c>
      <c r="H142" s="1">
        <v>8</v>
      </c>
      <c r="I142" s="1" t="s">
        <v>32</v>
      </c>
      <c r="J142" s="4" t="s">
        <v>36</v>
      </c>
      <c r="K142" s="1" t="s">
        <v>37</v>
      </c>
    </row>
    <row r="143" spans="1:11" ht="15" x14ac:dyDescent="0.25">
      <c r="A143" s="30">
        <f>ROWS(B143:B$389)</f>
        <v>247</v>
      </c>
      <c r="B143" s="6" t="s">
        <v>418</v>
      </c>
      <c r="C143" s="1" t="s">
        <v>341</v>
      </c>
      <c r="D143" s="1" t="s">
        <v>341</v>
      </c>
      <c r="E143" s="1" t="s">
        <v>23</v>
      </c>
      <c r="F143" s="5">
        <v>44530</v>
      </c>
      <c r="G143" s="28">
        <v>6.1166666666666663</v>
      </c>
      <c r="H143" s="1">
        <v>8</v>
      </c>
      <c r="I143" s="1" t="s">
        <v>33</v>
      </c>
      <c r="J143" s="4" t="s">
        <v>36</v>
      </c>
      <c r="K143" s="1" t="s">
        <v>37</v>
      </c>
    </row>
    <row r="144" spans="1:11" ht="15" customHeight="1" x14ac:dyDescent="0.25">
      <c r="A144" s="30">
        <f>ROWS(B144:B$389)</f>
        <v>246</v>
      </c>
      <c r="B144" s="6" t="s">
        <v>417</v>
      </c>
      <c r="C144" s="1" t="s">
        <v>341</v>
      </c>
      <c r="D144" s="1" t="s">
        <v>341</v>
      </c>
      <c r="E144" s="1" t="s">
        <v>157</v>
      </c>
      <c r="F144" s="5">
        <v>44530</v>
      </c>
      <c r="G144" s="28">
        <v>23.75</v>
      </c>
      <c r="H144" s="1">
        <v>10</v>
      </c>
      <c r="I144" s="1" t="s">
        <v>33</v>
      </c>
      <c r="J144" s="4" t="s">
        <v>190</v>
      </c>
      <c r="K144" s="1" t="s">
        <v>38</v>
      </c>
    </row>
    <row r="145" spans="1:11" ht="15" x14ac:dyDescent="0.25">
      <c r="A145" s="30">
        <f>ROWS(B145:B$389)</f>
        <v>245</v>
      </c>
      <c r="B145" s="6" t="s">
        <v>304</v>
      </c>
      <c r="C145" s="1" t="s">
        <v>341</v>
      </c>
      <c r="D145" s="1" t="s">
        <v>350</v>
      </c>
      <c r="E145" s="1" t="s">
        <v>24</v>
      </c>
      <c r="F145" s="5">
        <v>44501</v>
      </c>
      <c r="G145" s="28">
        <v>0.42907407407407411</v>
      </c>
      <c r="H145" s="1">
        <v>9</v>
      </c>
      <c r="I145" s="1" t="s">
        <v>32</v>
      </c>
      <c r="J145" s="4" t="s">
        <v>36</v>
      </c>
      <c r="K145" s="1" t="s">
        <v>37</v>
      </c>
    </row>
    <row r="146" spans="1:11" ht="15" customHeight="1" x14ac:dyDescent="0.2">
      <c r="A146" s="30">
        <f>ROWS(B146:B$389)</f>
        <v>244</v>
      </c>
      <c r="B146" s="6" t="s">
        <v>189</v>
      </c>
      <c r="C146" s="1" t="s">
        <v>341</v>
      </c>
      <c r="D146" s="1" t="s">
        <v>341</v>
      </c>
      <c r="E146" s="1" t="s">
        <v>24</v>
      </c>
      <c r="F146" s="5">
        <v>44471</v>
      </c>
      <c r="G146" s="28">
        <v>0.6780787037037036</v>
      </c>
      <c r="H146" s="1">
        <v>9</v>
      </c>
      <c r="I146" s="1" t="s">
        <v>32</v>
      </c>
      <c r="J146" s="4" t="s">
        <v>36</v>
      </c>
      <c r="K146" s="1" t="s">
        <v>37</v>
      </c>
    </row>
    <row r="147" spans="1:11" ht="15" customHeight="1" x14ac:dyDescent="0.25">
      <c r="A147" s="30">
        <f>ROWS(B147:B$389)</f>
        <v>243</v>
      </c>
      <c r="B147" s="6" t="s">
        <v>415</v>
      </c>
      <c r="C147" s="1" t="s">
        <v>351</v>
      </c>
      <c r="D147" s="1" t="s">
        <v>351</v>
      </c>
      <c r="E147" s="1" t="s">
        <v>87</v>
      </c>
      <c r="F147" s="5">
        <v>44470</v>
      </c>
      <c r="G147" s="28">
        <v>0.125</v>
      </c>
      <c r="H147" s="1">
        <v>9</v>
      </c>
      <c r="I147" s="1" t="s">
        <v>32</v>
      </c>
      <c r="J147" s="4" t="s">
        <v>36</v>
      </c>
      <c r="K147" s="1" t="s">
        <v>37</v>
      </c>
    </row>
    <row r="148" spans="1:11" ht="15" customHeight="1" x14ac:dyDescent="0.2">
      <c r="A148" s="30">
        <f>ROWS(B148:B$389)</f>
        <v>242</v>
      </c>
      <c r="B148" s="6" t="s">
        <v>188</v>
      </c>
      <c r="C148" s="1" t="s">
        <v>351</v>
      </c>
      <c r="D148" s="1" t="s">
        <v>351</v>
      </c>
      <c r="E148" s="1" t="s">
        <v>29</v>
      </c>
      <c r="F148" s="5">
        <v>44444</v>
      </c>
      <c r="G148" s="28">
        <v>1.4583333333333333</v>
      </c>
      <c r="H148" s="1">
        <v>8</v>
      </c>
      <c r="I148" s="1" t="s">
        <v>32</v>
      </c>
      <c r="J148" s="4" t="s">
        <v>66</v>
      </c>
      <c r="K148" s="1" t="s">
        <v>37</v>
      </c>
    </row>
    <row r="149" spans="1:11" ht="15" x14ac:dyDescent="0.25">
      <c r="A149" s="30">
        <f>ROWS(B149:B$389)</f>
        <v>241</v>
      </c>
      <c r="B149" s="6" t="s">
        <v>307</v>
      </c>
      <c r="C149" s="1" t="s">
        <v>351</v>
      </c>
      <c r="D149" s="1" t="s">
        <v>351</v>
      </c>
      <c r="E149" s="1" t="s">
        <v>23</v>
      </c>
      <c r="F149" s="5">
        <v>44443</v>
      </c>
      <c r="G149" s="28">
        <v>1.8333333333333333</v>
      </c>
      <c r="H149" s="1">
        <v>8</v>
      </c>
      <c r="I149" s="1" t="s">
        <v>32</v>
      </c>
      <c r="J149" s="4" t="s">
        <v>36</v>
      </c>
      <c r="K149" s="1" t="s">
        <v>37</v>
      </c>
    </row>
    <row r="150" spans="1:11" ht="14.25" customHeight="1" x14ac:dyDescent="0.25">
      <c r="A150" s="30">
        <f>ROWS(B150:B$389)</f>
        <v>240</v>
      </c>
      <c r="B150" s="6" t="s">
        <v>421</v>
      </c>
      <c r="C150" s="1" t="s">
        <v>351</v>
      </c>
      <c r="D150" s="1" t="s">
        <v>351</v>
      </c>
      <c r="E150" s="1" t="s">
        <v>120</v>
      </c>
      <c r="F150" s="5">
        <v>44442</v>
      </c>
      <c r="G150" s="28">
        <v>0.83333333333333337</v>
      </c>
      <c r="H150" s="1">
        <v>8</v>
      </c>
      <c r="I150" s="1" t="s">
        <v>32</v>
      </c>
      <c r="J150" s="4" t="s">
        <v>66</v>
      </c>
      <c r="K150" s="1" t="s">
        <v>37</v>
      </c>
    </row>
    <row r="151" spans="1:11" ht="15" x14ac:dyDescent="0.25">
      <c r="A151" s="30">
        <f>ROWS(B151:B$389)</f>
        <v>239</v>
      </c>
      <c r="B151" s="6" t="s">
        <v>293</v>
      </c>
      <c r="C151" s="1" t="s">
        <v>351</v>
      </c>
      <c r="D151" s="1" t="s">
        <v>351</v>
      </c>
      <c r="E151" s="1" t="s">
        <v>27</v>
      </c>
      <c r="F151" s="5">
        <v>44441</v>
      </c>
      <c r="G151" s="28">
        <v>0.33333333333333331</v>
      </c>
      <c r="H151" s="1">
        <v>9</v>
      </c>
      <c r="I151" s="1" t="s">
        <v>32</v>
      </c>
      <c r="J151" s="4" t="s">
        <v>36</v>
      </c>
      <c r="K151" s="1" t="s">
        <v>37</v>
      </c>
    </row>
    <row r="152" spans="1:11" ht="14.25" customHeight="1" x14ac:dyDescent="0.2">
      <c r="A152" s="30">
        <f>ROWS(B152:B$389)</f>
        <v>238</v>
      </c>
      <c r="B152" s="6" t="s">
        <v>187</v>
      </c>
      <c r="C152" s="1" t="s">
        <v>351</v>
      </c>
      <c r="D152" s="1" t="s">
        <v>351</v>
      </c>
      <c r="E152" s="1" t="s">
        <v>22</v>
      </c>
      <c r="F152" s="5">
        <v>44440</v>
      </c>
      <c r="G152" s="28">
        <v>0.54166666666666663</v>
      </c>
      <c r="H152" s="1">
        <v>8</v>
      </c>
      <c r="I152" s="1" t="s">
        <v>32</v>
      </c>
      <c r="J152" s="4" t="s">
        <v>36</v>
      </c>
      <c r="K152" s="1" t="s">
        <v>37</v>
      </c>
    </row>
    <row r="153" spans="1:11" x14ac:dyDescent="0.2">
      <c r="A153" s="30">
        <f>ROWS(B153:B$389)</f>
        <v>237</v>
      </c>
      <c r="B153" s="6" t="s">
        <v>186</v>
      </c>
      <c r="C153" s="1" t="s">
        <v>20</v>
      </c>
      <c r="D153" s="1" t="s">
        <v>20</v>
      </c>
      <c r="E153" s="1" t="s">
        <v>22</v>
      </c>
      <c r="F153" s="5">
        <v>44410</v>
      </c>
      <c r="G153" s="28">
        <v>3.9583333333333335</v>
      </c>
      <c r="H153" s="1">
        <v>10</v>
      </c>
      <c r="I153" s="1" t="s">
        <v>32</v>
      </c>
      <c r="J153" s="4" t="s">
        <v>36</v>
      </c>
      <c r="K153" s="1" t="s">
        <v>37</v>
      </c>
    </row>
    <row r="154" spans="1:11" ht="15" x14ac:dyDescent="0.25">
      <c r="A154" s="30">
        <f>ROWS(B154:B$389)</f>
        <v>236</v>
      </c>
      <c r="B154" s="6" t="s">
        <v>486</v>
      </c>
      <c r="C154" s="1" t="s">
        <v>20</v>
      </c>
      <c r="D154" s="1" t="s">
        <v>20</v>
      </c>
      <c r="E154" s="1" t="s">
        <v>27</v>
      </c>
      <c r="F154" s="5">
        <v>44409</v>
      </c>
      <c r="G154" s="28">
        <v>1.0416666666666667</v>
      </c>
      <c r="H154" s="1">
        <v>7</v>
      </c>
      <c r="I154" s="1" t="s">
        <v>33</v>
      </c>
      <c r="J154" s="4" t="s">
        <v>36</v>
      </c>
      <c r="K154" s="1" t="s">
        <v>37</v>
      </c>
    </row>
    <row r="155" spans="1:11" x14ac:dyDescent="0.2">
      <c r="A155" s="30">
        <f>ROWS(B155:B$389)</f>
        <v>235</v>
      </c>
      <c r="B155" s="6" t="s">
        <v>184</v>
      </c>
      <c r="C155" s="1" t="s">
        <v>341</v>
      </c>
      <c r="D155" s="1" t="s">
        <v>350</v>
      </c>
      <c r="E155" s="1" t="s">
        <v>185</v>
      </c>
      <c r="F155" s="5">
        <v>44318</v>
      </c>
      <c r="G155" s="28">
        <v>0.853449074074074</v>
      </c>
      <c r="H155" s="1">
        <v>9</v>
      </c>
      <c r="I155" s="1" t="s">
        <v>34</v>
      </c>
      <c r="J155" s="4" t="s">
        <v>36</v>
      </c>
      <c r="K155" s="1" t="s">
        <v>37</v>
      </c>
    </row>
    <row r="156" spans="1:11" x14ac:dyDescent="0.2">
      <c r="A156" s="30">
        <f>ROWS(B156:B$389)</f>
        <v>234</v>
      </c>
      <c r="B156" s="6" t="s">
        <v>183</v>
      </c>
      <c r="C156" s="1" t="s">
        <v>341</v>
      </c>
      <c r="D156" s="1" t="s">
        <v>350</v>
      </c>
      <c r="E156" s="1" t="s">
        <v>21</v>
      </c>
      <c r="F156" s="5">
        <v>44317</v>
      </c>
      <c r="G156" s="28">
        <v>0.23650462962962962</v>
      </c>
      <c r="H156" s="1">
        <v>8</v>
      </c>
      <c r="I156" s="1" t="s">
        <v>33</v>
      </c>
      <c r="J156" s="4" t="s">
        <v>36</v>
      </c>
      <c r="K156" s="1" t="s">
        <v>37</v>
      </c>
    </row>
    <row r="157" spans="1:11" ht="15" x14ac:dyDescent="0.25">
      <c r="A157" s="30">
        <f>ROWS(B157:B$389)</f>
        <v>233</v>
      </c>
      <c r="B157" s="6" t="s">
        <v>308</v>
      </c>
      <c r="C157" s="1" t="s">
        <v>341</v>
      </c>
      <c r="D157" s="1" t="s">
        <v>350</v>
      </c>
      <c r="E157" s="1" t="s">
        <v>23</v>
      </c>
      <c r="F157" s="5">
        <v>44291</v>
      </c>
      <c r="G157" s="28">
        <v>2.2590277777777779</v>
      </c>
      <c r="H157" s="1">
        <v>9</v>
      </c>
      <c r="I157" s="1" t="s">
        <v>33</v>
      </c>
      <c r="J157" s="4" t="s">
        <v>36</v>
      </c>
      <c r="K157" s="1" t="s">
        <v>37</v>
      </c>
    </row>
    <row r="158" spans="1:11" ht="15" customHeight="1" x14ac:dyDescent="0.2">
      <c r="A158" s="30">
        <f>ROWS(B158:B$389)</f>
        <v>232</v>
      </c>
      <c r="B158" s="6" t="s">
        <v>182</v>
      </c>
      <c r="C158" s="1" t="s">
        <v>341</v>
      </c>
      <c r="D158" s="1" t="s">
        <v>341</v>
      </c>
      <c r="E158" s="1" t="s">
        <v>27</v>
      </c>
      <c r="F158" s="5">
        <v>44290</v>
      </c>
      <c r="G158" s="28">
        <v>1.0416666666666667</v>
      </c>
      <c r="H158" s="1">
        <v>10</v>
      </c>
      <c r="I158" s="1" t="s">
        <v>32</v>
      </c>
      <c r="J158" s="4" t="s">
        <v>36</v>
      </c>
      <c r="K158" s="1" t="s">
        <v>37</v>
      </c>
    </row>
    <row r="159" spans="1:11" ht="15" customHeight="1" x14ac:dyDescent="0.2">
      <c r="A159" s="30">
        <f>ROWS(B159:B$389)</f>
        <v>231</v>
      </c>
      <c r="B159" s="6" t="s">
        <v>181</v>
      </c>
      <c r="C159" s="1" t="s">
        <v>341</v>
      </c>
      <c r="D159" s="1" t="s">
        <v>348</v>
      </c>
      <c r="E159" s="1" t="s">
        <v>30</v>
      </c>
      <c r="F159" s="5">
        <v>44289</v>
      </c>
      <c r="G159" s="28">
        <v>0.54379629629629633</v>
      </c>
      <c r="H159" s="1">
        <v>11</v>
      </c>
      <c r="I159" s="1" t="s">
        <v>34</v>
      </c>
      <c r="J159" s="4" t="s">
        <v>225</v>
      </c>
      <c r="K159" s="1" t="s">
        <v>37</v>
      </c>
    </row>
    <row r="160" spans="1:11" ht="15" customHeight="1" x14ac:dyDescent="0.25">
      <c r="A160" s="30">
        <f>ROWS(B160:B$389)</f>
        <v>230</v>
      </c>
      <c r="B160" s="6" t="s">
        <v>316</v>
      </c>
      <c r="C160" s="1" t="s">
        <v>341</v>
      </c>
      <c r="D160" s="1" t="s">
        <v>341</v>
      </c>
      <c r="E160" s="1" t="s">
        <v>87</v>
      </c>
      <c r="F160" s="5">
        <v>44288</v>
      </c>
      <c r="G160" s="28">
        <v>0.125</v>
      </c>
      <c r="H160" s="1">
        <v>9</v>
      </c>
      <c r="I160" s="1" t="s">
        <v>32</v>
      </c>
      <c r="J160" s="4" t="s">
        <v>36</v>
      </c>
      <c r="K160" s="1" t="s">
        <v>38</v>
      </c>
    </row>
    <row r="161" spans="1:11" x14ac:dyDescent="0.2">
      <c r="A161" s="30">
        <f>ROWS(B161:B$389)</f>
        <v>229</v>
      </c>
      <c r="B161" s="6" t="s">
        <v>180</v>
      </c>
      <c r="C161" s="1" t="s">
        <v>341</v>
      </c>
      <c r="D161" s="1" t="s">
        <v>341</v>
      </c>
      <c r="E161" s="1" t="s">
        <v>23</v>
      </c>
      <c r="F161" s="5">
        <v>44287</v>
      </c>
      <c r="G161" s="28">
        <v>0.83333333333333337</v>
      </c>
      <c r="H161" s="1">
        <v>8</v>
      </c>
      <c r="I161" s="1" t="s">
        <v>33</v>
      </c>
      <c r="J161" s="4" t="s">
        <v>36</v>
      </c>
      <c r="K161" s="1" t="s">
        <v>37</v>
      </c>
    </row>
    <row r="162" spans="1:11" ht="14.25" customHeight="1" x14ac:dyDescent="0.2">
      <c r="A162" s="30">
        <f>ROWS(B162:B$389)</f>
        <v>228</v>
      </c>
      <c r="B162" s="6" t="s">
        <v>179</v>
      </c>
      <c r="C162" s="1" t="s">
        <v>348</v>
      </c>
      <c r="D162" s="1" t="s">
        <v>348</v>
      </c>
      <c r="E162" s="1" t="s">
        <v>107</v>
      </c>
      <c r="F162" s="5">
        <v>44197</v>
      </c>
      <c r="G162" s="28">
        <v>0.41666666666666669</v>
      </c>
      <c r="H162" s="1">
        <v>10</v>
      </c>
      <c r="I162" s="1" t="s">
        <v>32</v>
      </c>
      <c r="J162" s="4" t="s">
        <v>36</v>
      </c>
      <c r="K162" s="1" t="s">
        <v>38</v>
      </c>
    </row>
    <row r="163" spans="1:11" ht="14.25" customHeight="1" x14ac:dyDescent="0.25">
      <c r="A163" s="30">
        <f>ROWS(B163:B$389)</f>
        <v>227</v>
      </c>
      <c r="B163" s="6" t="s">
        <v>416</v>
      </c>
      <c r="C163" s="1" t="s">
        <v>344</v>
      </c>
      <c r="D163" s="1" t="s">
        <v>344</v>
      </c>
      <c r="E163" s="1" t="s">
        <v>177</v>
      </c>
      <c r="F163" s="5">
        <v>44166</v>
      </c>
      <c r="G163" s="28">
        <v>4.6611111111111114</v>
      </c>
      <c r="H163" s="1">
        <v>9</v>
      </c>
      <c r="I163" s="1" t="s">
        <v>33</v>
      </c>
      <c r="J163" s="4" t="s">
        <v>36</v>
      </c>
      <c r="K163" s="1" t="s">
        <v>37</v>
      </c>
    </row>
    <row r="164" spans="1:11" ht="15" customHeight="1" x14ac:dyDescent="0.2">
      <c r="A164" s="30">
        <f>ROWS(B164:B$389)</f>
        <v>226</v>
      </c>
      <c r="B164" s="6" t="s">
        <v>435</v>
      </c>
      <c r="C164" s="1" t="s">
        <v>344</v>
      </c>
      <c r="D164" s="1" t="s">
        <v>344</v>
      </c>
      <c r="E164" s="1" t="s">
        <v>30</v>
      </c>
      <c r="F164" s="5">
        <v>44158</v>
      </c>
      <c r="G164" s="28">
        <v>1.1722222222222223</v>
      </c>
      <c r="H164" s="1">
        <v>6</v>
      </c>
      <c r="I164" s="1" t="s">
        <v>32</v>
      </c>
      <c r="J164" s="4" t="s">
        <v>71</v>
      </c>
      <c r="K164" s="1" t="s">
        <v>38</v>
      </c>
    </row>
    <row r="165" spans="1:11" x14ac:dyDescent="0.2">
      <c r="A165" s="30">
        <f>ROWS(B165:B$389)</f>
        <v>225</v>
      </c>
      <c r="B165" s="6" t="s">
        <v>487</v>
      </c>
      <c r="C165" s="1" t="s">
        <v>344</v>
      </c>
      <c r="D165" s="1" t="s">
        <v>344</v>
      </c>
      <c r="E165" s="1" t="s">
        <v>27</v>
      </c>
      <c r="F165" s="5">
        <v>44136</v>
      </c>
      <c r="G165" s="28">
        <v>3.2166666666666668</v>
      </c>
      <c r="H165" s="1">
        <v>8</v>
      </c>
      <c r="I165" s="1" t="s">
        <v>33</v>
      </c>
      <c r="J165" s="4" t="s">
        <v>36</v>
      </c>
      <c r="K165" s="1" t="s">
        <v>37</v>
      </c>
    </row>
    <row r="166" spans="1:11" ht="15" x14ac:dyDescent="0.25">
      <c r="A166" s="30">
        <f>ROWS(B166:B$389)</f>
        <v>224</v>
      </c>
      <c r="B166" s="6" t="s">
        <v>325</v>
      </c>
      <c r="C166" s="1" t="s">
        <v>355</v>
      </c>
      <c r="D166" s="1" t="s">
        <v>360</v>
      </c>
      <c r="E166" s="1" t="s">
        <v>23</v>
      </c>
      <c r="F166" s="5">
        <v>44112</v>
      </c>
      <c r="G166" s="28">
        <v>0.58333333333333337</v>
      </c>
      <c r="H166" s="1">
        <v>10</v>
      </c>
      <c r="I166" s="1" t="s">
        <v>34</v>
      </c>
      <c r="J166" s="4" t="s">
        <v>36</v>
      </c>
      <c r="K166" s="1" t="s">
        <v>38</v>
      </c>
    </row>
    <row r="167" spans="1:11" x14ac:dyDescent="0.2">
      <c r="A167" s="30">
        <f>ROWS(B167:B$389)</f>
        <v>223</v>
      </c>
      <c r="B167" s="6" t="s">
        <v>176</v>
      </c>
      <c r="C167" s="1" t="s">
        <v>355</v>
      </c>
      <c r="D167" s="1" t="s">
        <v>355</v>
      </c>
      <c r="E167" s="1" t="s">
        <v>23</v>
      </c>
      <c r="F167" s="5">
        <v>44111</v>
      </c>
      <c r="G167" s="28">
        <v>1.875</v>
      </c>
      <c r="H167" s="1">
        <v>8</v>
      </c>
      <c r="I167" s="1" t="s">
        <v>32</v>
      </c>
      <c r="J167" s="4" t="s">
        <v>36</v>
      </c>
      <c r="K167" s="1" t="s">
        <v>37</v>
      </c>
    </row>
    <row r="168" spans="1:11" ht="15" x14ac:dyDescent="0.25">
      <c r="A168" s="30">
        <f>ROWS(B168:B$389)</f>
        <v>222</v>
      </c>
      <c r="B168" s="6" t="s">
        <v>414</v>
      </c>
      <c r="C168" s="1" t="s">
        <v>356</v>
      </c>
      <c r="D168" s="1" t="s">
        <v>356</v>
      </c>
      <c r="E168" s="1" t="s">
        <v>177</v>
      </c>
      <c r="F168" s="5">
        <v>44110</v>
      </c>
      <c r="G168" s="28">
        <v>3.5416666666666665</v>
      </c>
      <c r="H168" s="1">
        <v>8</v>
      </c>
      <c r="I168" s="1" t="s">
        <v>33</v>
      </c>
      <c r="J168" s="4" t="s">
        <v>36</v>
      </c>
      <c r="K168" s="1" t="s">
        <v>37</v>
      </c>
    </row>
    <row r="169" spans="1:11" ht="15" customHeight="1" x14ac:dyDescent="0.25">
      <c r="A169" s="30">
        <f>ROWS(B169:B$389)</f>
        <v>221</v>
      </c>
      <c r="B169" s="6" t="s">
        <v>413</v>
      </c>
      <c r="C169" s="1" t="s">
        <v>344</v>
      </c>
      <c r="D169" s="1" t="s">
        <v>344</v>
      </c>
      <c r="E169" s="1" t="s">
        <v>107</v>
      </c>
      <c r="F169" s="5">
        <v>44109</v>
      </c>
      <c r="G169" s="28">
        <v>0.65347222222222223</v>
      </c>
      <c r="H169" s="1">
        <v>8</v>
      </c>
      <c r="I169" s="1" t="s">
        <v>33</v>
      </c>
      <c r="J169" s="4" t="s">
        <v>178</v>
      </c>
      <c r="K169" s="1" t="s">
        <v>37</v>
      </c>
    </row>
    <row r="170" spans="1:11" x14ac:dyDescent="0.2">
      <c r="A170" s="30">
        <f>ROWS(B170:B$389)</f>
        <v>220</v>
      </c>
      <c r="B170" s="6" t="s">
        <v>175</v>
      </c>
      <c r="C170" s="1" t="s">
        <v>344</v>
      </c>
      <c r="D170" s="1" t="s">
        <v>344</v>
      </c>
      <c r="E170" s="1" t="s">
        <v>65</v>
      </c>
      <c r="F170" s="5">
        <v>44108</v>
      </c>
      <c r="G170" s="28">
        <v>0.40486111111111112</v>
      </c>
      <c r="H170" s="1">
        <v>7</v>
      </c>
      <c r="I170" s="1" t="s">
        <v>34</v>
      </c>
      <c r="J170" s="4" t="s">
        <v>170</v>
      </c>
      <c r="K170" s="1" t="s">
        <v>37</v>
      </c>
    </row>
    <row r="171" spans="1:11" x14ac:dyDescent="0.2">
      <c r="A171" s="30">
        <f>ROWS(B171:B$389)</f>
        <v>219</v>
      </c>
      <c r="B171" s="6" t="s">
        <v>174</v>
      </c>
      <c r="C171" s="1" t="s">
        <v>344</v>
      </c>
      <c r="D171" s="1" t="s">
        <v>344</v>
      </c>
      <c r="E171" s="1" t="s">
        <v>23</v>
      </c>
      <c r="F171" s="5">
        <v>44107</v>
      </c>
      <c r="G171" s="28">
        <v>2.15625</v>
      </c>
      <c r="H171" s="1">
        <v>7</v>
      </c>
      <c r="I171" s="1" t="s">
        <v>32</v>
      </c>
      <c r="J171" s="4" t="s">
        <v>36</v>
      </c>
      <c r="K171" s="1" t="s">
        <v>37</v>
      </c>
    </row>
    <row r="172" spans="1:11" x14ac:dyDescent="0.2">
      <c r="A172" s="30">
        <f>ROWS(B172:B$389)</f>
        <v>218</v>
      </c>
      <c r="B172" s="6" t="s">
        <v>173</v>
      </c>
      <c r="C172" s="1" t="s">
        <v>344</v>
      </c>
      <c r="D172" s="1" t="s">
        <v>344</v>
      </c>
      <c r="E172" s="1" t="s">
        <v>23</v>
      </c>
      <c r="F172" s="5">
        <v>44106</v>
      </c>
      <c r="G172" s="28">
        <v>3.1215277777777777</v>
      </c>
      <c r="H172" s="1">
        <v>6</v>
      </c>
      <c r="I172" s="1" t="s">
        <v>32</v>
      </c>
      <c r="J172" s="4" t="s">
        <v>36</v>
      </c>
      <c r="K172" s="1" t="s">
        <v>37</v>
      </c>
    </row>
    <row r="173" spans="1:11" ht="14.25" customHeight="1" x14ac:dyDescent="0.2">
      <c r="A173" s="30">
        <f>ROWS(B173:B$389)</f>
        <v>217</v>
      </c>
      <c r="B173" s="6" t="s">
        <v>172</v>
      </c>
      <c r="C173" s="1" t="s">
        <v>344</v>
      </c>
      <c r="D173" s="1" t="s">
        <v>344</v>
      </c>
      <c r="E173" s="1" t="s">
        <v>65</v>
      </c>
      <c r="F173" s="5">
        <v>44105</v>
      </c>
      <c r="G173" s="28">
        <v>0.50486111111111109</v>
      </c>
      <c r="H173" s="1">
        <v>7</v>
      </c>
      <c r="I173" s="1" t="s">
        <v>34</v>
      </c>
      <c r="J173" s="4" t="s">
        <v>36</v>
      </c>
      <c r="K173" s="1" t="s">
        <v>38</v>
      </c>
    </row>
    <row r="174" spans="1:11" x14ac:dyDescent="0.2">
      <c r="A174" s="30">
        <f>ROWS(B174:B$389)</f>
        <v>216</v>
      </c>
      <c r="B174" s="6" t="s">
        <v>171</v>
      </c>
      <c r="C174" s="1" t="s">
        <v>344</v>
      </c>
      <c r="D174" s="1" t="s">
        <v>344</v>
      </c>
      <c r="E174" s="1" t="s">
        <v>23</v>
      </c>
      <c r="F174" s="5">
        <v>44075</v>
      </c>
      <c r="G174" s="28">
        <v>6.5569444444444445</v>
      </c>
      <c r="H174" s="1">
        <v>10</v>
      </c>
      <c r="I174" s="1" t="s">
        <v>32</v>
      </c>
      <c r="J174" s="4" t="s">
        <v>36</v>
      </c>
      <c r="K174" s="1" t="s">
        <v>37</v>
      </c>
    </row>
    <row r="175" spans="1:11" ht="15" customHeight="1" x14ac:dyDescent="0.25">
      <c r="A175" s="30">
        <f>ROWS(B175:B$389)</f>
        <v>215</v>
      </c>
      <c r="B175" s="6" t="s">
        <v>412</v>
      </c>
      <c r="C175" s="1" t="s">
        <v>348</v>
      </c>
      <c r="D175" s="1" t="s">
        <v>348</v>
      </c>
      <c r="E175" s="1" t="s">
        <v>21</v>
      </c>
      <c r="F175" s="5">
        <v>44044</v>
      </c>
      <c r="G175" s="28">
        <v>0.41666666666666669</v>
      </c>
      <c r="H175" s="1">
        <v>9</v>
      </c>
      <c r="I175" s="1" t="s">
        <v>32</v>
      </c>
      <c r="J175" s="4" t="s">
        <v>36</v>
      </c>
      <c r="K175" s="1" t="s">
        <v>37</v>
      </c>
    </row>
    <row r="176" spans="1:11" ht="15" customHeight="1" x14ac:dyDescent="0.25">
      <c r="A176" s="30">
        <f>ROWS(B176:B$389)</f>
        <v>214</v>
      </c>
      <c r="B176" s="6" t="s">
        <v>303</v>
      </c>
      <c r="C176" s="1" t="s">
        <v>344</v>
      </c>
      <c r="D176" s="1" t="s">
        <v>344</v>
      </c>
      <c r="E176" s="1" t="s">
        <v>24</v>
      </c>
      <c r="F176" s="5">
        <v>44015</v>
      </c>
      <c r="G176" s="28">
        <v>1.7083333333333333</v>
      </c>
      <c r="H176" s="1">
        <v>10</v>
      </c>
      <c r="I176" s="1" t="s">
        <v>34</v>
      </c>
      <c r="J176" s="4" t="s">
        <v>36</v>
      </c>
      <c r="K176" s="1" t="s">
        <v>38</v>
      </c>
    </row>
    <row r="177" spans="1:11" ht="14.25" customHeight="1" x14ac:dyDescent="0.2">
      <c r="A177" s="30">
        <f>ROWS(B177:B$389)</f>
        <v>213</v>
      </c>
      <c r="B177" s="6" t="s">
        <v>169</v>
      </c>
      <c r="C177" s="1" t="s">
        <v>344</v>
      </c>
      <c r="D177" s="1" t="s">
        <v>344</v>
      </c>
      <c r="E177" s="1" t="s">
        <v>21</v>
      </c>
      <c r="F177" s="5">
        <v>44014</v>
      </c>
      <c r="G177" s="28">
        <v>1.3041666666666667</v>
      </c>
      <c r="H177" s="1">
        <v>8</v>
      </c>
      <c r="I177" s="1" t="s">
        <v>32</v>
      </c>
      <c r="J177" s="4" t="s">
        <v>36</v>
      </c>
      <c r="K177" s="1" t="s">
        <v>37</v>
      </c>
    </row>
    <row r="178" spans="1:11" ht="14.25" customHeight="1" x14ac:dyDescent="0.2">
      <c r="A178" s="30">
        <f>ROWS(B178:B$389)</f>
        <v>212</v>
      </c>
      <c r="B178" s="6" t="s">
        <v>168</v>
      </c>
      <c r="C178" s="1" t="s">
        <v>344</v>
      </c>
      <c r="D178" s="1" t="s">
        <v>344</v>
      </c>
      <c r="E178" s="1" t="s">
        <v>157</v>
      </c>
      <c r="F178" s="5">
        <v>44013</v>
      </c>
      <c r="G178" s="28">
        <v>1.1701388888888888</v>
      </c>
      <c r="H178" s="1">
        <v>7</v>
      </c>
      <c r="I178" s="1" t="s">
        <v>32</v>
      </c>
      <c r="J178" s="4" t="s">
        <v>170</v>
      </c>
      <c r="K178" s="1" t="s">
        <v>37</v>
      </c>
    </row>
    <row r="179" spans="1:11" ht="15" x14ac:dyDescent="0.25">
      <c r="A179" s="30">
        <f>ROWS(B179:B$389)</f>
        <v>211</v>
      </c>
      <c r="B179" s="6" t="s">
        <v>453</v>
      </c>
      <c r="C179" s="1" t="s">
        <v>344</v>
      </c>
      <c r="D179" s="1" t="s">
        <v>344</v>
      </c>
      <c r="E179" s="1" t="s">
        <v>22</v>
      </c>
      <c r="F179" s="5">
        <v>43987</v>
      </c>
      <c r="G179" s="28">
        <v>15.449305555555556</v>
      </c>
      <c r="H179" s="1">
        <v>11</v>
      </c>
      <c r="I179" s="1" t="s">
        <v>32</v>
      </c>
      <c r="J179" s="4" t="s">
        <v>36</v>
      </c>
      <c r="K179" s="1" t="s">
        <v>37</v>
      </c>
    </row>
    <row r="180" spans="1:11" ht="14.25" customHeight="1" x14ac:dyDescent="0.2">
      <c r="A180" s="30">
        <f>ROWS(B180:B$389)</f>
        <v>210</v>
      </c>
      <c r="B180" s="6" t="s">
        <v>166</v>
      </c>
      <c r="C180" s="1" t="s">
        <v>344</v>
      </c>
      <c r="D180" s="1" t="s">
        <v>344</v>
      </c>
      <c r="E180" s="1" t="s">
        <v>30</v>
      </c>
      <c r="F180" s="5">
        <v>43986</v>
      </c>
      <c r="G180" s="28">
        <v>2.4076388888888891</v>
      </c>
      <c r="H180" s="1">
        <v>9</v>
      </c>
      <c r="I180" s="1" t="s">
        <v>32</v>
      </c>
      <c r="J180" s="4" t="s">
        <v>36</v>
      </c>
      <c r="K180" s="1" t="s">
        <v>37</v>
      </c>
    </row>
    <row r="181" spans="1:11" x14ac:dyDescent="0.2">
      <c r="A181" s="30">
        <f>ROWS(B181:B$389)</f>
        <v>209</v>
      </c>
      <c r="B181" s="6" t="s">
        <v>165</v>
      </c>
      <c r="C181" s="1" t="s">
        <v>344</v>
      </c>
      <c r="D181" s="1" t="s">
        <v>344</v>
      </c>
      <c r="E181" s="1" t="s">
        <v>24</v>
      </c>
      <c r="F181" s="5">
        <v>43985</v>
      </c>
      <c r="G181" s="28">
        <v>1.9645833333333333</v>
      </c>
      <c r="H181" s="1">
        <v>10</v>
      </c>
      <c r="I181" s="1" t="s">
        <v>32</v>
      </c>
      <c r="J181" s="4" t="s">
        <v>36</v>
      </c>
      <c r="K181" s="1" t="s">
        <v>37</v>
      </c>
    </row>
    <row r="182" spans="1:11" ht="15" x14ac:dyDescent="0.25">
      <c r="A182" s="30">
        <f>ROWS(B182:B$389)</f>
        <v>208</v>
      </c>
      <c r="B182" s="6" t="s">
        <v>298</v>
      </c>
      <c r="C182" s="1" t="s">
        <v>344</v>
      </c>
      <c r="D182" s="1" t="s">
        <v>344</v>
      </c>
      <c r="E182" s="1" t="s">
        <v>22</v>
      </c>
      <c r="F182" s="5">
        <v>43984</v>
      </c>
      <c r="G182" s="28">
        <v>0.94652777777777775</v>
      </c>
      <c r="H182" s="1">
        <v>8</v>
      </c>
      <c r="I182" s="1" t="s">
        <v>32</v>
      </c>
      <c r="J182" s="4" t="s">
        <v>36</v>
      </c>
      <c r="K182" s="1" t="s">
        <v>37</v>
      </c>
    </row>
    <row r="183" spans="1:11" x14ac:dyDescent="0.2">
      <c r="A183" s="30">
        <f>ROWS(B183:B$389)</f>
        <v>207</v>
      </c>
      <c r="B183" s="6" t="s">
        <v>164</v>
      </c>
      <c r="C183" s="1" t="s">
        <v>344</v>
      </c>
      <c r="D183" s="1" t="s">
        <v>344</v>
      </c>
      <c r="E183" s="1" t="s">
        <v>25</v>
      </c>
      <c r="F183" s="5">
        <v>43983</v>
      </c>
      <c r="G183" s="28">
        <v>1.2416666666666667</v>
      </c>
      <c r="H183" s="1">
        <v>10</v>
      </c>
      <c r="I183" s="1" t="s">
        <v>32</v>
      </c>
      <c r="J183" s="4" t="s">
        <v>36</v>
      </c>
      <c r="K183" s="1" t="s">
        <v>37</v>
      </c>
    </row>
    <row r="184" spans="1:11" ht="15" customHeight="1" x14ac:dyDescent="0.2">
      <c r="A184" s="30">
        <f>ROWS(B184:B$389)</f>
        <v>206</v>
      </c>
      <c r="B184" s="6" t="s">
        <v>163</v>
      </c>
      <c r="C184" s="1" t="s">
        <v>357</v>
      </c>
      <c r="D184" s="1" t="s">
        <v>357</v>
      </c>
      <c r="E184" s="1" t="s">
        <v>87</v>
      </c>
      <c r="F184" s="5">
        <v>43955</v>
      </c>
      <c r="G184" s="28">
        <v>4.1666666666666664E-2</v>
      </c>
      <c r="H184" s="1">
        <v>9</v>
      </c>
      <c r="I184" s="1" t="s">
        <v>32</v>
      </c>
      <c r="J184" s="4" t="s">
        <v>36</v>
      </c>
      <c r="K184" s="1" t="s">
        <v>38</v>
      </c>
    </row>
    <row r="185" spans="1:11" x14ac:dyDescent="0.2">
      <c r="A185" s="30">
        <f>ROWS(B185:B$389)</f>
        <v>205</v>
      </c>
      <c r="B185" s="6" t="s">
        <v>162</v>
      </c>
      <c r="C185" s="1" t="s">
        <v>344</v>
      </c>
      <c r="D185" s="1" t="s">
        <v>344</v>
      </c>
      <c r="E185" s="1" t="s">
        <v>21</v>
      </c>
      <c r="F185" s="5">
        <v>43954</v>
      </c>
      <c r="G185" s="28">
        <v>0.89513888888888893</v>
      </c>
      <c r="H185" s="1">
        <v>9</v>
      </c>
      <c r="I185" s="1" t="s">
        <v>32</v>
      </c>
      <c r="J185" s="4" t="s">
        <v>36</v>
      </c>
      <c r="K185" s="1" t="s">
        <v>37</v>
      </c>
    </row>
    <row r="186" spans="1:11" ht="14.25" customHeight="1" x14ac:dyDescent="0.2">
      <c r="A186" s="30">
        <f>ROWS(B186:B$389)</f>
        <v>204</v>
      </c>
      <c r="B186" s="6" t="s">
        <v>161</v>
      </c>
      <c r="C186" s="1" t="s">
        <v>344</v>
      </c>
      <c r="D186" s="1" t="s">
        <v>344</v>
      </c>
      <c r="E186" s="1" t="s">
        <v>24</v>
      </c>
      <c r="F186" s="5">
        <v>43953</v>
      </c>
      <c r="G186" s="28">
        <v>1.1618055555555555</v>
      </c>
      <c r="H186" s="1">
        <v>9</v>
      </c>
      <c r="I186" s="1" t="s">
        <v>32</v>
      </c>
      <c r="J186" s="4" t="s">
        <v>36</v>
      </c>
      <c r="K186" s="1" t="s">
        <v>37</v>
      </c>
    </row>
    <row r="187" spans="1:11" ht="15" customHeight="1" x14ac:dyDescent="0.2">
      <c r="A187" s="30">
        <f>ROWS(B187:B$389)</f>
        <v>203</v>
      </c>
      <c r="B187" s="6" t="s">
        <v>160</v>
      </c>
      <c r="C187" s="1" t="s">
        <v>344</v>
      </c>
      <c r="D187" s="1" t="s">
        <v>344</v>
      </c>
      <c r="E187" s="1" t="s">
        <v>22</v>
      </c>
      <c r="F187" s="5">
        <v>43952</v>
      </c>
      <c r="G187" s="28">
        <v>2.4631944444444445</v>
      </c>
      <c r="H187" s="1">
        <v>9</v>
      </c>
      <c r="I187" s="1" t="s">
        <v>32</v>
      </c>
      <c r="J187" s="4" t="s">
        <v>36</v>
      </c>
      <c r="K187" s="1" t="s">
        <v>37</v>
      </c>
    </row>
    <row r="188" spans="1:11" ht="14.25" customHeight="1" x14ac:dyDescent="0.2">
      <c r="A188" s="30">
        <f>ROWS(B188:B$389)</f>
        <v>202</v>
      </c>
      <c r="B188" s="6" t="s">
        <v>432</v>
      </c>
      <c r="C188" s="1" t="s">
        <v>344</v>
      </c>
      <c r="D188" s="1" t="s">
        <v>344</v>
      </c>
      <c r="E188" s="1" t="s">
        <v>65</v>
      </c>
      <c r="F188" s="5">
        <v>43924</v>
      </c>
      <c r="G188" s="28">
        <v>2.0416666666666665</v>
      </c>
      <c r="H188" s="1">
        <v>10</v>
      </c>
      <c r="I188" s="1" t="s">
        <v>32</v>
      </c>
      <c r="J188" s="4" t="s">
        <v>36</v>
      </c>
      <c r="K188" s="1" t="s">
        <v>37</v>
      </c>
    </row>
    <row r="189" spans="1:11" x14ac:dyDescent="0.2">
      <c r="A189" s="30">
        <f>ROWS(B189:B$389)</f>
        <v>201</v>
      </c>
      <c r="B189" s="6" t="s">
        <v>159</v>
      </c>
      <c r="C189" s="1" t="s">
        <v>344</v>
      </c>
      <c r="D189" s="1" t="s">
        <v>344</v>
      </c>
      <c r="E189" s="1" t="s">
        <v>30</v>
      </c>
      <c r="F189" s="5">
        <v>43923</v>
      </c>
      <c r="G189" s="28">
        <v>0.47152777777777777</v>
      </c>
      <c r="H189" s="1">
        <v>7</v>
      </c>
      <c r="I189" s="1" t="s">
        <v>32</v>
      </c>
      <c r="J189" s="4" t="s">
        <v>36</v>
      </c>
      <c r="K189" s="1" t="s">
        <v>38</v>
      </c>
    </row>
    <row r="190" spans="1:11" ht="14.25" customHeight="1" x14ac:dyDescent="0.25">
      <c r="A190" s="30">
        <f>ROWS(B190:B$389)</f>
        <v>200</v>
      </c>
      <c r="B190" s="6" t="s">
        <v>500</v>
      </c>
      <c r="C190" s="1" t="s">
        <v>346</v>
      </c>
      <c r="D190" s="1" t="s">
        <v>346</v>
      </c>
      <c r="E190" s="1" t="s">
        <v>65</v>
      </c>
      <c r="F190" s="5">
        <v>43922</v>
      </c>
      <c r="G190" s="28">
        <v>0.54166666666666663</v>
      </c>
      <c r="H190" s="1">
        <v>9</v>
      </c>
      <c r="I190" s="1" t="s">
        <v>32</v>
      </c>
      <c r="J190" s="4" t="s">
        <v>36</v>
      </c>
      <c r="K190" s="1" t="s">
        <v>37</v>
      </c>
    </row>
    <row r="191" spans="1:11" ht="15" customHeight="1" x14ac:dyDescent="0.25">
      <c r="A191" s="30">
        <f>ROWS(B191:B$389)</f>
        <v>199</v>
      </c>
      <c r="B191" s="6" t="s">
        <v>296</v>
      </c>
      <c r="C191" s="1" t="s">
        <v>360</v>
      </c>
      <c r="D191" s="1" t="s">
        <v>360</v>
      </c>
      <c r="E191" s="1" t="s">
        <v>24</v>
      </c>
      <c r="F191" s="5">
        <v>43891</v>
      </c>
      <c r="G191" s="28">
        <v>0.41666666666666669</v>
      </c>
      <c r="H191" s="1">
        <v>10</v>
      </c>
      <c r="I191" s="1" t="s">
        <v>32</v>
      </c>
      <c r="J191" s="4" t="s">
        <v>36</v>
      </c>
      <c r="K191" s="1" t="s">
        <v>37</v>
      </c>
    </row>
    <row r="192" spans="1:11" ht="15" customHeight="1" x14ac:dyDescent="0.2">
      <c r="A192" s="30">
        <f>ROWS(B192:B$389)</f>
        <v>198</v>
      </c>
      <c r="B192" s="6" t="s">
        <v>155</v>
      </c>
      <c r="C192" s="1" t="s">
        <v>341</v>
      </c>
      <c r="D192" s="1" t="s">
        <v>341</v>
      </c>
      <c r="E192" s="1" t="s">
        <v>23</v>
      </c>
      <c r="F192" s="5">
        <v>43799</v>
      </c>
      <c r="G192" s="28">
        <v>24.201388888888889</v>
      </c>
      <c r="H192" s="1">
        <v>9</v>
      </c>
      <c r="I192" s="1" t="s">
        <v>33</v>
      </c>
      <c r="J192" s="4" t="s">
        <v>36</v>
      </c>
      <c r="K192" s="1" t="s">
        <v>37</v>
      </c>
    </row>
    <row r="193" spans="1:11" x14ac:dyDescent="0.2">
      <c r="A193" s="30">
        <f>ROWS(B193:B$389)</f>
        <v>197</v>
      </c>
      <c r="B193" s="6" t="s">
        <v>154</v>
      </c>
      <c r="C193" s="1" t="s">
        <v>341</v>
      </c>
      <c r="D193" s="1" t="s">
        <v>341</v>
      </c>
      <c r="E193" s="1" t="s">
        <v>30</v>
      </c>
      <c r="F193" s="5">
        <v>43711</v>
      </c>
      <c r="G193" s="28">
        <v>0.45833333333333331</v>
      </c>
      <c r="H193" s="1">
        <v>6</v>
      </c>
      <c r="I193" s="1" t="s">
        <v>33</v>
      </c>
      <c r="J193" s="4" t="s">
        <v>36</v>
      </c>
      <c r="K193" s="1" t="s">
        <v>38</v>
      </c>
    </row>
    <row r="194" spans="1:11" ht="14.25" customHeight="1" x14ac:dyDescent="0.2">
      <c r="A194" s="30">
        <f>ROWS(B194:B$389)</f>
        <v>196</v>
      </c>
      <c r="B194" s="6" t="s">
        <v>216</v>
      </c>
      <c r="C194" s="1" t="s">
        <v>341</v>
      </c>
      <c r="D194" s="1" t="s">
        <v>341</v>
      </c>
      <c r="E194" s="1" t="s">
        <v>30</v>
      </c>
      <c r="F194" s="5">
        <v>43710</v>
      </c>
      <c r="G194" s="28">
        <v>3.125</v>
      </c>
      <c r="H194" s="1">
        <v>9</v>
      </c>
      <c r="I194" s="1" t="s">
        <v>33</v>
      </c>
      <c r="J194" s="4" t="s">
        <v>36</v>
      </c>
      <c r="K194" s="1" t="s">
        <v>37</v>
      </c>
    </row>
    <row r="195" spans="1:11" ht="15" x14ac:dyDescent="0.25">
      <c r="A195" s="30">
        <f>ROWS(B195:B$389)</f>
        <v>195</v>
      </c>
      <c r="B195" s="6" t="s">
        <v>411</v>
      </c>
      <c r="C195" s="1" t="s">
        <v>343</v>
      </c>
      <c r="D195" s="1" t="s">
        <v>343</v>
      </c>
      <c r="E195" s="1" t="s">
        <v>157</v>
      </c>
      <c r="F195" s="5">
        <v>43709</v>
      </c>
      <c r="G195" s="28">
        <v>12.391666666666666</v>
      </c>
      <c r="H195" s="1">
        <v>9</v>
      </c>
      <c r="I195" s="1" t="s">
        <v>33</v>
      </c>
      <c r="J195" s="4" t="s">
        <v>190</v>
      </c>
      <c r="K195" s="1" t="s">
        <v>37</v>
      </c>
    </row>
    <row r="196" spans="1:11" ht="15" customHeight="1" x14ac:dyDescent="0.2">
      <c r="A196" s="30">
        <f>ROWS(B196:B$389)</f>
        <v>194</v>
      </c>
      <c r="B196" s="6" t="s">
        <v>153</v>
      </c>
      <c r="C196" s="1" t="s">
        <v>341</v>
      </c>
      <c r="D196" s="1" t="s">
        <v>341</v>
      </c>
      <c r="E196" s="1" t="s">
        <v>24</v>
      </c>
      <c r="F196" s="5">
        <v>43647</v>
      </c>
      <c r="G196" s="28">
        <v>1.7222222222222223</v>
      </c>
      <c r="H196" s="1">
        <v>10</v>
      </c>
      <c r="I196" s="1" t="s">
        <v>34</v>
      </c>
      <c r="J196" s="4" t="s">
        <v>36</v>
      </c>
      <c r="K196" s="1" t="s">
        <v>37</v>
      </c>
    </row>
    <row r="197" spans="1:11" x14ac:dyDescent="0.2">
      <c r="A197" s="30">
        <f>ROWS(B197:B$389)</f>
        <v>193</v>
      </c>
      <c r="B197" s="6" t="s">
        <v>152</v>
      </c>
      <c r="C197" s="1" t="s">
        <v>347</v>
      </c>
      <c r="D197" s="1" t="s">
        <v>347</v>
      </c>
      <c r="E197" s="1" t="s">
        <v>21</v>
      </c>
      <c r="F197" s="5">
        <v>43617</v>
      </c>
      <c r="G197" s="28">
        <v>8.3333333333333329E-2</v>
      </c>
      <c r="H197" s="1">
        <v>7</v>
      </c>
      <c r="I197" s="1" t="s">
        <v>32</v>
      </c>
      <c r="J197" s="4" t="s">
        <v>36</v>
      </c>
      <c r="K197" s="1" t="s">
        <v>38</v>
      </c>
    </row>
    <row r="198" spans="1:11" ht="15" x14ac:dyDescent="0.25">
      <c r="A198" s="30">
        <f>ROWS(B198:B$389)</f>
        <v>192</v>
      </c>
      <c r="B198" s="6" t="s">
        <v>393</v>
      </c>
      <c r="C198" s="1" t="s">
        <v>343</v>
      </c>
      <c r="D198" s="1" t="s">
        <v>343</v>
      </c>
      <c r="E198" s="1" t="s">
        <v>21</v>
      </c>
      <c r="F198" s="5">
        <v>43611</v>
      </c>
      <c r="G198" s="28">
        <v>0.6381944444444444</v>
      </c>
      <c r="H198" s="1">
        <v>7</v>
      </c>
      <c r="I198" s="1" t="s">
        <v>33</v>
      </c>
      <c r="J198" s="4" t="s">
        <v>36</v>
      </c>
      <c r="K198" s="1" t="s">
        <v>38</v>
      </c>
    </row>
    <row r="199" spans="1:11" ht="14.25" customHeight="1" x14ac:dyDescent="0.25">
      <c r="A199" s="30">
        <f>ROWS(B199:B$389)</f>
        <v>191</v>
      </c>
      <c r="B199" s="6" t="s">
        <v>315</v>
      </c>
      <c r="C199" s="1" t="s">
        <v>341</v>
      </c>
      <c r="D199" s="1" t="s">
        <v>341</v>
      </c>
      <c r="E199" s="1" t="s">
        <v>120</v>
      </c>
      <c r="F199" s="5">
        <v>43556</v>
      </c>
      <c r="G199" s="28">
        <v>0.41666666666666669</v>
      </c>
      <c r="H199" s="1">
        <v>7</v>
      </c>
      <c r="I199" s="1" t="s">
        <v>32</v>
      </c>
      <c r="J199" s="4" t="s">
        <v>36</v>
      </c>
      <c r="K199" s="1" t="s">
        <v>38</v>
      </c>
    </row>
    <row r="200" spans="1:11" x14ac:dyDescent="0.2">
      <c r="A200" s="30">
        <f>ROWS(B200:B$389)</f>
        <v>190</v>
      </c>
      <c r="B200" s="6" t="s">
        <v>151</v>
      </c>
      <c r="C200" s="1" t="s">
        <v>156</v>
      </c>
      <c r="D200" s="1" t="s">
        <v>156</v>
      </c>
      <c r="E200" s="1" t="s">
        <v>23</v>
      </c>
      <c r="F200" s="5">
        <v>43525</v>
      </c>
      <c r="G200" s="28">
        <v>1.25</v>
      </c>
      <c r="H200" s="1">
        <v>10</v>
      </c>
      <c r="I200" s="1" t="s">
        <v>32</v>
      </c>
      <c r="J200" s="4" t="s">
        <v>36</v>
      </c>
      <c r="K200" s="1" t="s">
        <v>37</v>
      </c>
    </row>
    <row r="201" spans="1:11" ht="14.25" customHeight="1" x14ac:dyDescent="0.25">
      <c r="A201" s="30">
        <f>ROWS(B201:B$389)</f>
        <v>189</v>
      </c>
      <c r="B201" s="6" t="s">
        <v>301</v>
      </c>
      <c r="C201" s="1" t="s">
        <v>156</v>
      </c>
      <c r="D201" s="1" t="s">
        <v>156</v>
      </c>
      <c r="E201" s="1" t="s">
        <v>23</v>
      </c>
      <c r="F201" s="5">
        <v>43497</v>
      </c>
      <c r="G201" s="28">
        <v>3.6549884259259255</v>
      </c>
      <c r="H201" s="1">
        <v>7</v>
      </c>
      <c r="I201" s="1" t="s">
        <v>32</v>
      </c>
      <c r="J201" s="4" t="s">
        <v>36</v>
      </c>
      <c r="K201" s="1" t="s">
        <v>37</v>
      </c>
    </row>
    <row r="202" spans="1:11" ht="15" customHeight="1" x14ac:dyDescent="0.2">
      <c r="A202" s="30">
        <f>ROWS(B202:B$389)</f>
        <v>188</v>
      </c>
      <c r="B202" s="6" t="s">
        <v>149</v>
      </c>
      <c r="C202" s="1" t="s">
        <v>156</v>
      </c>
      <c r="D202" s="1" t="s">
        <v>156</v>
      </c>
      <c r="E202" s="1" t="s">
        <v>23</v>
      </c>
      <c r="F202" s="5">
        <v>43475</v>
      </c>
      <c r="G202" s="28">
        <v>1</v>
      </c>
      <c r="H202" s="1">
        <v>9</v>
      </c>
      <c r="I202" s="1" t="s">
        <v>32</v>
      </c>
      <c r="J202" s="4" t="s">
        <v>36</v>
      </c>
      <c r="K202" s="1" t="s">
        <v>37</v>
      </c>
    </row>
    <row r="203" spans="1:11" ht="15" customHeight="1" x14ac:dyDescent="0.2">
      <c r="A203" s="30">
        <f>ROWS(B203:B$389)</f>
        <v>187</v>
      </c>
      <c r="B203" s="6" t="s">
        <v>148</v>
      </c>
      <c r="C203" s="1" t="s">
        <v>156</v>
      </c>
      <c r="D203" s="1" t="s">
        <v>156</v>
      </c>
      <c r="E203" s="1" t="s">
        <v>23</v>
      </c>
      <c r="F203" s="5">
        <v>43474</v>
      </c>
      <c r="G203" s="28">
        <v>0.75</v>
      </c>
      <c r="H203" s="1">
        <v>8</v>
      </c>
      <c r="I203" s="1" t="s">
        <v>32</v>
      </c>
      <c r="J203" s="4" t="s">
        <v>36</v>
      </c>
      <c r="K203" s="1" t="s">
        <v>37</v>
      </c>
    </row>
    <row r="204" spans="1:11" x14ac:dyDescent="0.2">
      <c r="A204" s="30">
        <f>ROWS(B204:B$389)</f>
        <v>186</v>
      </c>
      <c r="B204" s="6" t="s">
        <v>147</v>
      </c>
      <c r="C204" s="1" t="s">
        <v>353</v>
      </c>
      <c r="D204" s="1" t="s">
        <v>353</v>
      </c>
      <c r="E204" s="1" t="s">
        <v>23</v>
      </c>
      <c r="F204" s="5">
        <v>43473</v>
      </c>
      <c r="G204" s="28">
        <v>2.4194444444444447</v>
      </c>
      <c r="H204" s="1">
        <v>9</v>
      </c>
      <c r="I204" s="1" t="s">
        <v>32</v>
      </c>
      <c r="J204" s="4" t="s">
        <v>36</v>
      </c>
      <c r="K204" s="1" t="s">
        <v>37</v>
      </c>
    </row>
    <row r="205" spans="1:11" x14ac:dyDescent="0.2">
      <c r="A205" s="30">
        <f>ROWS(B205:B$389)</f>
        <v>185</v>
      </c>
      <c r="B205" s="6" t="s">
        <v>146</v>
      </c>
      <c r="C205" s="1" t="s">
        <v>347</v>
      </c>
      <c r="D205" s="1" t="s">
        <v>347</v>
      </c>
      <c r="E205" s="1" t="s">
        <v>87</v>
      </c>
      <c r="F205" s="5">
        <v>43472</v>
      </c>
      <c r="G205" s="28">
        <v>6.25E-2</v>
      </c>
      <c r="H205" s="1">
        <v>6</v>
      </c>
      <c r="I205" s="1" t="s">
        <v>32</v>
      </c>
      <c r="J205" s="4" t="s">
        <v>36</v>
      </c>
      <c r="K205" s="1" t="s">
        <v>37</v>
      </c>
    </row>
    <row r="206" spans="1:11" x14ac:dyDescent="0.2">
      <c r="A206" s="30">
        <f>ROWS(B206:B$389)</f>
        <v>184</v>
      </c>
      <c r="B206" s="6" t="s">
        <v>145</v>
      </c>
      <c r="C206" s="1" t="s">
        <v>347</v>
      </c>
      <c r="D206" s="1" t="s">
        <v>347</v>
      </c>
      <c r="E206" s="1" t="s">
        <v>23</v>
      </c>
      <c r="F206" s="5">
        <v>43471</v>
      </c>
      <c r="G206" s="28">
        <v>1.0416666666666667</v>
      </c>
      <c r="H206" s="1">
        <v>8</v>
      </c>
      <c r="I206" s="1" t="s">
        <v>32</v>
      </c>
      <c r="J206" s="4" t="s">
        <v>36</v>
      </c>
      <c r="K206" s="1" t="s">
        <v>37</v>
      </c>
    </row>
    <row r="207" spans="1:11" x14ac:dyDescent="0.2">
      <c r="A207" s="30">
        <f>ROWS(B207:B$389)</f>
        <v>183</v>
      </c>
      <c r="B207" s="6" t="s">
        <v>144</v>
      </c>
      <c r="C207" s="1" t="s">
        <v>347</v>
      </c>
      <c r="D207" s="1" t="s">
        <v>347</v>
      </c>
      <c r="E207" s="1" t="s">
        <v>87</v>
      </c>
      <c r="F207" s="5">
        <v>43470</v>
      </c>
      <c r="G207" s="28">
        <v>6.25E-2</v>
      </c>
      <c r="H207" s="1">
        <v>8</v>
      </c>
      <c r="I207" s="1" t="s">
        <v>34</v>
      </c>
      <c r="J207" s="4" t="s">
        <v>36</v>
      </c>
      <c r="K207" s="1" t="s">
        <v>37</v>
      </c>
    </row>
    <row r="208" spans="1:11" ht="14.25" customHeight="1" x14ac:dyDescent="0.2">
      <c r="A208" s="30">
        <f>ROWS(B208:B$389)</f>
        <v>182</v>
      </c>
      <c r="B208" s="6" t="s">
        <v>143</v>
      </c>
      <c r="C208" s="1" t="s">
        <v>347</v>
      </c>
      <c r="D208" s="1" t="s">
        <v>347</v>
      </c>
      <c r="E208" s="1" t="s">
        <v>21</v>
      </c>
      <c r="F208" s="5">
        <v>43469</v>
      </c>
      <c r="G208" s="28">
        <v>0.12986111111111112</v>
      </c>
      <c r="H208" s="1">
        <v>8</v>
      </c>
      <c r="I208" s="1" t="s">
        <v>32</v>
      </c>
      <c r="J208" s="4" t="s">
        <v>36</v>
      </c>
      <c r="K208" s="1" t="s">
        <v>37</v>
      </c>
    </row>
    <row r="209" spans="1:11" x14ac:dyDescent="0.2">
      <c r="A209" s="30">
        <f>ROWS(B209:B$389)</f>
        <v>181</v>
      </c>
      <c r="B209" s="6" t="s">
        <v>150</v>
      </c>
      <c r="C209" s="1" t="s">
        <v>343</v>
      </c>
      <c r="D209" s="1" t="s">
        <v>343</v>
      </c>
      <c r="E209" s="1" t="s">
        <v>23</v>
      </c>
      <c r="F209" s="5">
        <v>43468</v>
      </c>
      <c r="G209" s="28">
        <v>0.92291666666666661</v>
      </c>
      <c r="H209" s="1">
        <v>7</v>
      </c>
      <c r="I209" s="1" t="s">
        <v>33</v>
      </c>
      <c r="J209" s="4" t="s">
        <v>36</v>
      </c>
      <c r="K209" s="1" t="s">
        <v>37</v>
      </c>
    </row>
    <row r="210" spans="1:11" ht="15" x14ac:dyDescent="0.25">
      <c r="A210" s="30">
        <f>ROWS(B210:B$389)</f>
        <v>180</v>
      </c>
      <c r="B210" s="6" t="s">
        <v>314</v>
      </c>
      <c r="C210" s="1" t="s">
        <v>343</v>
      </c>
      <c r="D210" s="1" t="s">
        <v>343</v>
      </c>
      <c r="E210" s="1" t="s">
        <v>23</v>
      </c>
      <c r="F210" s="5">
        <v>43467</v>
      </c>
      <c r="G210" s="28">
        <v>3.5243055555555554</v>
      </c>
      <c r="H210" s="1">
        <v>7</v>
      </c>
      <c r="I210" s="1" t="s">
        <v>33</v>
      </c>
      <c r="J210" s="4" t="s">
        <v>36</v>
      </c>
      <c r="K210" s="1" t="s">
        <v>37</v>
      </c>
    </row>
    <row r="211" spans="1:11" ht="15" customHeight="1" x14ac:dyDescent="0.25">
      <c r="A211" s="30">
        <f>ROWS(B211:B$389)</f>
        <v>179</v>
      </c>
      <c r="B211" s="6" t="s">
        <v>319</v>
      </c>
      <c r="C211" s="1" t="s">
        <v>347</v>
      </c>
      <c r="D211" s="1" t="s">
        <v>347</v>
      </c>
      <c r="E211" s="1" t="s">
        <v>21</v>
      </c>
      <c r="F211" s="5">
        <v>43466</v>
      </c>
      <c r="G211" s="28">
        <v>4.1666666666666664E-2</v>
      </c>
      <c r="H211" s="1">
        <v>7</v>
      </c>
      <c r="I211" s="1" t="s">
        <v>34</v>
      </c>
      <c r="J211" s="4" t="s">
        <v>36</v>
      </c>
      <c r="K211" s="1" t="s">
        <v>37</v>
      </c>
    </row>
    <row r="212" spans="1:11" x14ac:dyDescent="0.2">
      <c r="A212" s="30">
        <f>ROWS(B212:B$389)</f>
        <v>178</v>
      </c>
      <c r="B212" s="6" t="s">
        <v>142</v>
      </c>
      <c r="C212" s="1" t="s">
        <v>354</v>
      </c>
      <c r="D212" s="1" t="s">
        <v>354</v>
      </c>
      <c r="E212" s="1" t="s">
        <v>23</v>
      </c>
      <c r="F212" s="5">
        <v>43445</v>
      </c>
      <c r="G212" s="28">
        <v>1.25</v>
      </c>
      <c r="H212" s="1">
        <v>10</v>
      </c>
      <c r="I212" s="1" t="s">
        <v>33</v>
      </c>
      <c r="J212" s="4" t="s">
        <v>36</v>
      </c>
      <c r="K212" s="1" t="s">
        <v>37</v>
      </c>
    </row>
    <row r="213" spans="1:11" ht="15" customHeight="1" x14ac:dyDescent="0.2">
      <c r="A213" s="30">
        <f>ROWS(B213:B$389)</f>
        <v>177</v>
      </c>
      <c r="B213" s="6" t="s">
        <v>141</v>
      </c>
      <c r="C213" s="1" t="s">
        <v>354</v>
      </c>
      <c r="D213" s="1" t="s">
        <v>354</v>
      </c>
      <c r="E213" s="1" t="s">
        <v>23</v>
      </c>
      <c r="F213" s="5">
        <v>43444</v>
      </c>
      <c r="G213" s="28">
        <v>1.25</v>
      </c>
      <c r="H213" s="1">
        <v>10</v>
      </c>
      <c r="I213" s="1" t="s">
        <v>33</v>
      </c>
      <c r="J213" s="4" t="s">
        <v>36</v>
      </c>
      <c r="K213" s="1" t="s">
        <v>37</v>
      </c>
    </row>
    <row r="214" spans="1:11" x14ac:dyDescent="0.2">
      <c r="A214" s="30">
        <f>ROWS(B214:B$389)</f>
        <v>176</v>
      </c>
      <c r="B214" s="6" t="s">
        <v>140</v>
      </c>
      <c r="C214" s="1" t="s">
        <v>354</v>
      </c>
      <c r="D214" s="1" t="s">
        <v>354</v>
      </c>
      <c r="E214" s="1" t="s">
        <v>23</v>
      </c>
      <c r="F214" s="5">
        <v>43443</v>
      </c>
      <c r="G214" s="28">
        <v>2.2298611111111111</v>
      </c>
      <c r="H214" s="1">
        <v>10</v>
      </c>
      <c r="I214" s="1" t="s">
        <v>33</v>
      </c>
      <c r="J214" s="4" t="s">
        <v>36</v>
      </c>
      <c r="K214" s="1" t="s">
        <v>37</v>
      </c>
    </row>
    <row r="215" spans="1:11" x14ac:dyDescent="0.2">
      <c r="A215" s="30">
        <f>ROWS(B215:B$389)</f>
        <v>175</v>
      </c>
      <c r="B215" s="6" t="s">
        <v>139</v>
      </c>
      <c r="C215" s="1" t="s">
        <v>352</v>
      </c>
      <c r="D215" s="1" t="s">
        <v>352</v>
      </c>
      <c r="E215" s="1" t="s">
        <v>23</v>
      </c>
      <c r="F215" s="5">
        <v>43442</v>
      </c>
      <c r="G215" s="28">
        <v>0.41666666666666669</v>
      </c>
      <c r="H215" s="1">
        <v>10</v>
      </c>
      <c r="I215" s="1" t="s">
        <v>33</v>
      </c>
      <c r="J215" s="4" t="s">
        <v>36</v>
      </c>
      <c r="K215" s="1" t="s">
        <v>37</v>
      </c>
    </row>
    <row r="216" spans="1:11" x14ac:dyDescent="0.2">
      <c r="A216" s="30">
        <f>ROWS(B216:B$389)</f>
        <v>174</v>
      </c>
      <c r="B216" s="6" t="s">
        <v>138</v>
      </c>
      <c r="C216" s="1" t="s">
        <v>352</v>
      </c>
      <c r="D216" s="1" t="s">
        <v>352</v>
      </c>
      <c r="E216" s="1" t="s">
        <v>23</v>
      </c>
      <c r="F216" s="5">
        <v>43441</v>
      </c>
      <c r="G216" s="28">
        <v>0.41666666666666669</v>
      </c>
      <c r="H216" s="1">
        <v>10</v>
      </c>
      <c r="I216" s="1" t="s">
        <v>33</v>
      </c>
      <c r="J216" s="4" t="s">
        <v>36</v>
      </c>
      <c r="K216" s="1" t="s">
        <v>37</v>
      </c>
    </row>
    <row r="217" spans="1:11" x14ac:dyDescent="0.2">
      <c r="A217" s="30">
        <f>ROWS(B217:B$389)</f>
        <v>173</v>
      </c>
      <c r="B217" s="6" t="s">
        <v>137</v>
      </c>
      <c r="C217" s="1" t="s">
        <v>352</v>
      </c>
      <c r="D217" s="1" t="s">
        <v>352</v>
      </c>
      <c r="E217" s="1" t="s">
        <v>23</v>
      </c>
      <c r="F217" s="5">
        <v>43440</v>
      </c>
      <c r="G217" s="28">
        <v>0.90486111111111101</v>
      </c>
      <c r="H217" s="1">
        <v>10</v>
      </c>
      <c r="I217" s="1" t="s">
        <v>33</v>
      </c>
      <c r="J217" s="4" t="s">
        <v>36</v>
      </c>
      <c r="K217" s="1" t="s">
        <v>37</v>
      </c>
    </row>
    <row r="218" spans="1:11" ht="15" x14ac:dyDescent="0.25">
      <c r="A218" s="30">
        <f>ROWS(B218:B$389)</f>
        <v>172</v>
      </c>
      <c r="B218" s="6" t="s">
        <v>321</v>
      </c>
      <c r="C218" s="1" t="s">
        <v>347</v>
      </c>
      <c r="D218" s="1" t="s">
        <v>347</v>
      </c>
      <c r="E218" s="1" t="s">
        <v>21</v>
      </c>
      <c r="F218" s="5">
        <v>43439</v>
      </c>
      <c r="G218" s="28">
        <v>0.25</v>
      </c>
      <c r="H218" s="1">
        <v>10</v>
      </c>
      <c r="I218" s="1" t="s">
        <v>32</v>
      </c>
      <c r="J218" s="4" t="s">
        <v>36</v>
      </c>
      <c r="K218" s="1" t="s">
        <v>37</v>
      </c>
    </row>
    <row r="219" spans="1:11" ht="15" customHeight="1" x14ac:dyDescent="0.2">
      <c r="A219" s="30">
        <f>ROWS(B219:B$389)</f>
        <v>171</v>
      </c>
      <c r="B219" s="6" t="s">
        <v>136</v>
      </c>
      <c r="C219" s="1" t="s">
        <v>343</v>
      </c>
      <c r="D219" s="1" t="s">
        <v>343</v>
      </c>
      <c r="E219" s="1" t="s">
        <v>23</v>
      </c>
      <c r="F219" s="5">
        <v>43438</v>
      </c>
      <c r="G219" s="28">
        <v>1.0694444444444444</v>
      </c>
      <c r="H219" s="1">
        <v>5</v>
      </c>
      <c r="I219" s="1" t="s">
        <v>33</v>
      </c>
      <c r="J219" s="4" t="s">
        <v>36</v>
      </c>
      <c r="K219" s="1" t="s">
        <v>37</v>
      </c>
    </row>
    <row r="220" spans="1:11" ht="15" customHeight="1" x14ac:dyDescent="0.25">
      <c r="A220" s="30">
        <f>ROWS(B220:B$389)</f>
        <v>170</v>
      </c>
      <c r="B220" s="6" t="s">
        <v>310</v>
      </c>
      <c r="C220" s="1" t="s">
        <v>343</v>
      </c>
      <c r="D220" s="1" t="s">
        <v>343</v>
      </c>
      <c r="E220" s="1" t="s">
        <v>23</v>
      </c>
      <c r="F220" s="5">
        <v>43437</v>
      </c>
      <c r="G220" s="28">
        <v>4.6687500000000002</v>
      </c>
      <c r="H220" s="1">
        <v>5</v>
      </c>
      <c r="I220" s="1" t="s">
        <v>33</v>
      </c>
      <c r="J220" s="4" t="s">
        <v>36</v>
      </c>
      <c r="K220" s="1" t="s">
        <v>37</v>
      </c>
    </row>
    <row r="221" spans="1:11" ht="15" customHeight="1" x14ac:dyDescent="0.2">
      <c r="A221" s="30">
        <f>ROWS(B221:B$389)</f>
        <v>169</v>
      </c>
      <c r="B221" s="6" t="s">
        <v>135</v>
      </c>
      <c r="C221" s="1" t="s">
        <v>360</v>
      </c>
      <c r="D221" s="1" t="s">
        <v>360</v>
      </c>
      <c r="E221" s="1" t="s">
        <v>23</v>
      </c>
      <c r="F221" s="5">
        <v>43436</v>
      </c>
      <c r="G221" s="28">
        <v>0.625</v>
      </c>
      <c r="H221" s="1">
        <v>11</v>
      </c>
      <c r="I221" s="1" t="s">
        <v>34</v>
      </c>
      <c r="J221" s="4" t="s">
        <v>36</v>
      </c>
      <c r="K221" s="1" t="s">
        <v>38</v>
      </c>
    </row>
    <row r="222" spans="1:11" ht="15" x14ac:dyDescent="0.25">
      <c r="A222" s="30">
        <f>ROWS(B222:B$389)</f>
        <v>168</v>
      </c>
      <c r="B222" s="6" t="s">
        <v>443</v>
      </c>
      <c r="C222" s="1" t="s">
        <v>341</v>
      </c>
      <c r="D222" s="1" t="s">
        <v>341</v>
      </c>
      <c r="E222" s="1" t="s">
        <v>23</v>
      </c>
      <c r="F222" s="5">
        <v>43435</v>
      </c>
      <c r="G222" s="28">
        <v>2.0833333333333335</v>
      </c>
      <c r="H222" s="1">
        <v>10</v>
      </c>
      <c r="I222" s="1" t="s">
        <v>32</v>
      </c>
      <c r="J222" s="4" t="s">
        <v>36</v>
      </c>
      <c r="K222" s="1" t="s">
        <v>37</v>
      </c>
    </row>
    <row r="223" spans="1:11" ht="14.25" customHeight="1" x14ac:dyDescent="0.2">
      <c r="A223" s="30">
        <f>ROWS(B223:B$389)</f>
        <v>167</v>
      </c>
      <c r="B223" s="6" t="s">
        <v>134</v>
      </c>
      <c r="C223" s="1" t="s">
        <v>341</v>
      </c>
      <c r="D223" s="1" t="s">
        <v>341</v>
      </c>
      <c r="E223" s="1" t="s">
        <v>23</v>
      </c>
      <c r="F223" s="5">
        <v>43435</v>
      </c>
      <c r="G223" s="28">
        <v>4.0902777777777777</v>
      </c>
      <c r="H223" s="1">
        <v>7</v>
      </c>
      <c r="I223" s="1" t="s">
        <v>33</v>
      </c>
      <c r="J223" s="4" t="s">
        <v>36</v>
      </c>
      <c r="K223" s="1" t="s">
        <v>37</v>
      </c>
    </row>
    <row r="224" spans="1:11" x14ac:dyDescent="0.2">
      <c r="A224" s="30">
        <f>ROWS(B224:B$389)</f>
        <v>166</v>
      </c>
      <c r="B224" s="6" t="s">
        <v>133</v>
      </c>
      <c r="C224" s="1" t="s">
        <v>341</v>
      </c>
      <c r="D224" s="1" t="s">
        <v>341</v>
      </c>
      <c r="E224" s="1" t="s">
        <v>107</v>
      </c>
      <c r="F224" s="5">
        <v>43406</v>
      </c>
      <c r="G224" s="28">
        <v>1.0618055555555554</v>
      </c>
      <c r="H224" s="1">
        <v>7</v>
      </c>
      <c r="I224" s="1" t="s">
        <v>33</v>
      </c>
      <c r="J224" s="4" t="s">
        <v>36</v>
      </c>
      <c r="K224" s="1" t="s">
        <v>37</v>
      </c>
    </row>
    <row r="225" spans="1:11" x14ac:dyDescent="0.2">
      <c r="A225" s="30">
        <f>ROWS(B225:B$389)</f>
        <v>165</v>
      </c>
      <c r="B225" s="6" t="s">
        <v>132</v>
      </c>
      <c r="C225" s="1" t="s">
        <v>343</v>
      </c>
      <c r="D225" s="1" t="s">
        <v>343</v>
      </c>
      <c r="E225" s="1" t="s">
        <v>23</v>
      </c>
      <c r="F225" s="5">
        <v>43405</v>
      </c>
      <c r="G225" s="28">
        <v>0.87777777777777777</v>
      </c>
      <c r="H225" s="1">
        <v>9</v>
      </c>
      <c r="I225" s="1" t="s">
        <v>33</v>
      </c>
      <c r="J225" s="4" t="s">
        <v>36</v>
      </c>
      <c r="K225" s="1" t="s">
        <v>37</v>
      </c>
    </row>
    <row r="226" spans="1:11" ht="14.25" customHeight="1" x14ac:dyDescent="0.25">
      <c r="A226" s="30">
        <f>ROWS(B226:B$389)</f>
        <v>164</v>
      </c>
      <c r="B226" s="6" t="s">
        <v>311</v>
      </c>
      <c r="C226" s="1" t="s">
        <v>343</v>
      </c>
      <c r="D226" s="1" t="s">
        <v>343</v>
      </c>
      <c r="E226" s="1" t="s">
        <v>23</v>
      </c>
      <c r="F226" s="5">
        <v>43374</v>
      </c>
      <c r="G226" s="28">
        <v>5.822222222222222</v>
      </c>
      <c r="H226" s="1">
        <v>9</v>
      </c>
      <c r="I226" s="1" t="s">
        <v>33</v>
      </c>
      <c r="J226" s="4" t="s">
        <v>36</v>
      </c>
      <c r="K226" s="1" t="s">
        <v>37</v>
      </c>
    </row>
    <row r="227" spans="1:11" ht="15" customHeight="1" x14ac:dyDescent="0.2">
      <c r="A227" s="30">
        <f>ROWS(B227:B$389)</f>
        <v>163</v>
      </c>
      <c r="B227" s="6" t="s">
        <v>410</v>
      </c>
      <c r="C227" s="1" t="s">
        <v>341</v>
      </c>
      <c r="D227" s="1" t="s">
        <v>341</v>
      </c>
      <c r="E227" s="1" t="s">
        <v>23</v>
      </c>
      <c r="F227" s="5">
        <v>43348</v>
      </c>
      <c r="G227" s="28">
        <v>1.5625</v>
      </c>
      <c r="H227" s="1">
        <v>8</v>
      </c>
      <c r="I227" s="1" t="s">
        <v>32</v>
      </c>
      <c r="J227" s="4" t="s">
        <v>36</v>
      </c>
      <c r="K227" s="1" t="s">
        <v>37</v>
      </c>
    </row>
    <row r="228" spans="1:11" ht="15" x14ac:dyDescent="0.25">
      <c r="A228" s="30">
        <f>ROWS(B228:B$389)</f>
        <v>162</v>
      </c>
      <c r="B228" s="6" t="s">
        <v>327</v>
      </c>
      <c r="C228" s="1" t="s">
        <v>343</v>
      </c>
      <c r="D228" s="1" t="s">
        <v>343</v>
      </c>
      <c r="E228" s="1" t="s">
        <v>23</v>
      </c>
      <c r="F228" s="5">
        <v>43347</v>
      </c>
      <c r="G228" s="28">
        <v>0.6645833333333333</v>
      </c>
      <c r="H228" s="1">
        <v>8</v>
      </c>
      <c r="I228" s="1" t="s">
        <v>33</v>
      </c>
      <c r="J228" s="4" t="s">
        <v>36</v>
      </c>
      <c r="K228" s="1" t="s">
        <v>37</v>
      </c>
    </row>
    <row r="229" spans="1:11" ht="14.25" customHeight="1" x14ac:dyDescent="0.2">
      <c r="A229" s="30">
        <f>ROWS(B229:B$389)</f>
        <v>161</v>
      </c>
      <c r="B229" s="6" t="s">
        <v>131</v>
      </c>
      <c r="C229" s="1" t="s">
        <v>343</v>
      </c>
      <c r="D229" s="1" t="s">
        <v>343</v>
      </c>
      <c r="E229" s="1" t="s">
        <v>23</v>
      </c>
      <c r="F229" s="5">
        <v>43346</v>
      </c>
      <c r="G229" s="28">
        <v>5.5340277777777773</v>
      </c>
      <c r="H229" s="1">
        <v>8</v>
      </c>
      <c r="I229" s="1" t="s">
        <v>33</v>
      </c>
      <c r="J229" s="4" t="s">
        <v>36</v>
      </c>
      <c r="K229" s="1" t="s">
        <v>37</v>
      </c>
    </row>
    <row r="230" spans="1:11" x14ac:dyDescent="0.2">
      <c r="A230" s="30">
        <f>ROWS(B230:B$389)</f>
        <v>160</v>
      </c>
      <c r="B230" s="6" t="s">
        <v>130</v>
      </c>
      <c r="C230" s="1" t="s">
        <v>345</v>
      </c>
      <c r="D230" s="1" t="s">
        <v>345</v>
      </c>
      <c r="E230" s="1" t="s">
        <v>23</v>
      </c>
      <c r="F230" s="5">
        <v>43345</v>
      </c>
      <c r="G230" s="28">
        <v>0.57500000000000007</v>
      </c>
      <c r="H230" s="1">
        <v>9</v>
      </c>
      <c r="I230" s="1" t="s">
        <v>33</v>
      </c>
      <c r="J230" s="4" t="s">
        <v>36</v>
      </c>
      <c r="K230" s="1" t="s">
        <v>37</v>
      </c>
    </row>
    <row r="231" spans="1:11" x14ac:dyDescent="0.2">
      <c r="A231" s="30">
        <f>ROWS(B231:B$389)</f>
        <v>159</v>
      </c>
      <c r="B231" s="6" t="s">
        <v>129</v>
      </c>
      <c r="C231" s="1" t="s">
        <v>345</v>
      </c>
      <c r="D231" s="1" t="s">
        <v>345</v>
      </c>
      <c r="E231" s="1" t="s">
        <v>23</v>
      </c>
      <c r="F231" s="5">
        <v>43344</v>
      </c>
      <c r="G231" s="28">
        <v>5.2673611111111116</v>
      </c>
      <c r="H231" s="1">
        <v>9</v>
      </c>
      <c r="I231" s="1" t="s">
        <v>33</v>
      </c>
      <c r="J231" s="4" t="s">
        <v>36</v>
      </c>
      <c r="K231" s="1" t="s">
        <v>37</v>
      </c>
    </row>
    <row r="232" spans="1:11" x14ac:dyDescent="0.2">
      <c r="A232" s="30">
        <f>ROWS(B232:B$389)</f>
        <v>158</v>
      </c>
      <c r="B232" s="6" t="s">
        <v>128</v>
      </c>
      <c r="C232" s="1" t="s">
        <v>345</v>
      </c>
      <c r="D232" s="1" t="s">
        <v>345</v>
      </c>
      <c r="E232" s="1" t="s">
        <v>23</v>
      </c>
      <c r="F232" s="5">
        <v>43317</v>
      </c>
      <c r="G232" s="28">
        <v>0.64097222222222217</v>
      </c>
      <c r="H232" s="1">
        <v>8</v>
      </c>
      <c r="I232" s="1" t="s">
        <v>33</v>
      </c>
      <c r="J232" s="4" t="s">
        <v>36</v>
      </c>
      <c r="K232" s="1" t="s">
        <v>37</v>
      </c>
    </row>
    <row r="233" spans="1:11" ht="15" customHeight="1" x14ac:dyDescent="0.2">
      <c r="A233" s="30">
        <f>ROWS(B233:B$389)</f>
        <v>157</v>
      </c>
      <c r="B233" s="6" t="s">
        <v>127</v>
      </c>
      <c r="C233" s="1" t="s">
        <v>345</v>
      </c>
      <c r="D233" s="1" t="s">
        <v>345</v>
      </c>
      <c r="E233" s="1" t="s">
        <v>23</v>
      </c>
      <c r="F233" s="5">
        <v>43316</v>
      </c>
      <c r="G233" s="28">
        <v>7.2548611111111114</v>
      </c>
      <c r="H233" s="1">
        <v>8</v>
      </c>
      <c r="I233" s="1" t="s">
        <v>33</v>
      </c>
      <c r="J233" s="4" t="s">
        <v>36</v>
      </c>
      <c r="K233" s="1" t="s">
        <v>37</v>
      </c>
    </row>
    <row r="234" spans="1:11" ht="15" x14ac:dyDescent="0.25">
      <c r="A234" s="30">
        <f>ROWS(B234:B$389)</f>
        <v>156</v>
      </c>
      <c r="B234" s="6" t="s">
        <v>322</v>
      </c>
      <c r="C234" s="1" t="s">
        <v>348</v>
      </c>
      <c r="D234" s="1" t="s">
        <v>348</v>
      </c>
      <c r="E234" s="1" t="s">
        <v>22</v>
      </c>
      <c r="F234" s="5">
        <v>43315</v>
      </c>
      <c r="G234" s="28">
        <v>1.4583333333333333</v>
      </c>
      <c r="H234" s="1">
        <v>11</v>
      </c>
      <c r="I234" s="1" t="s">
        <v>32</v>
      </c>
      <c r="J234" s="4" t="s">
        <v>36</v>
      </c>
      <c r="K234" s="1" t="s">
        <v>37</v>
      </c>
    </row>
    <row r="235" spans="1:11" ht="15" customHeight="1" x14ac:dyDescent="0.2">
      <c r="A235" s="30">
        <f>ROWS(B235:B$389)</f>
        <v>155</v>
      </c>
      <c r="B235" s="6" t="s">
        <v>126</v>
      </c>
      <c r="C235" s="1" t="s">
        <v>348</v>
      </c>
      <c r="D235" s="1" t="s">
        <v>348</v>
      </c>
      <c r="E235" s="1" t="s">
        <v>21</v>
      </c>
      <c r="F235" s="5">
        <v>43314</v>
      </c>
      <c r="G235" s="28">
        <v>1.0625</v>
      </c>
      <c r="H235" s="1">
        <v>9</v>
      </c>
      <c r="I235" s="1" t="s">
        <v>32</v>
      </c>
      <c r="J235" s="4" t="s">
        <v>36</v>
      </c>
      <c r="K235" s="1" t="s">
        <v>37</v>
      </c>
    </row>
    <row r="236" spans="1:11" x14ac:dyDescent="0.2">
      <c r="A236" s="30">
        <f>ROWS(B236:B$389)</f>
        <v>154</v>
      </c>
      <c r="B236" s="6" t="s">
        <v>238</v>
      </c>
      <c r="C236" s="1" t="s">
        <v>343</v>
      </c>
      <c r="D236" s="1" t="s">
        <v>354</v>
      </c>
      <c r="E236" s="1" t="s">
        <v>22</v>
      </c>
      <c r="F236" s="5">
        <v>43313</v>
      </c>
      <c r="G236" s="28">
        <v>0.84027777777777779</v>
      </c>
      <c r="H236" s="1">
        <v>8</v>
      </c>
      <c r="I236" s="1" t="s">
        <v>32</v>
      </c>
      <c r="J236" s="4" t="s">
        <v>36</v>
      </c>
      <c r="K236" s="1" t="s">
        <v>37</v>
      </c>
    </row>
    <row r="237" spans="1:11" ht="14.25" customHeight="1" x14ac:dyDescent="0.2">
      <c r="A237" s="30">
        <f>ROWS(B237:B$389)</f>
        <v>153</v>
      </c>
      <c r="B237" s="6" t="s">
        <v>239</v>
      </c>
      <c r="C237" s="1" t="s">
        <v>343</v>
      </c>
      <c r="D237" s="1" t="s">
        <v>354</v>
      </c>
      <c r="E237" s="1" t="s">
        <v>22</v>
      </c>
      <c r="F237" s="5">
        <v>43285</v>
      </c>
      <c r="G237" s="28">
        <v>0.97361111111111109</v>
      </c>
      <c r="H237" s="1">
        <v>8</v>
      </c>
      <c r="I237" s="1" t="s">
        <v>32</v>
      </c>
      <c r="J237" s="4" t="s">
        <v>36</v>
      </c>
      <c r="K237" s="1" t="s">
        <v>37</v>
      </c>
    </row>
    <row r="238" spans="1:11" x14ac:dyDescent="0.2">
      <c r="A238" s="30">
        <f>ROWS(B238:B$389)</f>
        <v>152</v>
      </c>
      <c r="B238" s="6" t="s">
        <v>125</v>
      </c>
      <c r="C238" s="1" t="s">
        <v>345</v>
      </c>
      <c r="D238" s="1" t="s">
        <v>345</v>
      </c>
      <c r="E238" s="1" t="s">
        <v>23</v>
      </c>
      <c r="F238" s="5">
        <v>43284</v>
      </c>
      <c r="G238" s="28">
        <v>0.48333333333333334</v>
      </c>
      <c r="H238" s="1">
        <v>5</v>
      </c>
      <c r="I238" s="1" t="s">
        <v>33</v>
      </c>
      <c r="J238" s="4" t="s">
        <v>36</v>
      </c>
      <c r="K238" s="1" t="s">
        <v>37</v>
      </c>
    </row>
    <row r="239" spans="1:11" x14ac:dyDescent="0.2">
      <c r="A239" s="30">
        <f>ROWS(B239:B$389)</f>
        <v>151</v>
      </c>
      <c r="B239" s="6" t="s">
        <v>124</v>
      </c>
      <c r="C239" s="1" t="s">
        <v>345</v>
      </c>
      <c r="D239" s="1" t="s">
        <v>345</v>
      </c>
      <c r="E239" s="1" t="s">
        <v>23</v>
      </c>
      <c r="F239" s="5">
        <v>43283</v>
      </c>
      <c r="G239" s="28">
        <v>0.62222222222222223</v>
      </c>
      <c r="H239" s="1">
        <v>5</v>
      </c>
      <c r="I239" s="1" t="s">
        <v>33</v>
      </c>
      <c r="J239" s="4" t="s">
        <v>36</v>
      </c>
      <c r="K239" s="1" t="s">
        <v>37</v>
      </c>
    </row>
    <row r="240" spans="1:11" ht="15" customHeight="1" x14ac:dyDescent="0.2">
      <c r="A240" s="30">
        <f>ROWS(B240:B$389)</f>
        <v>150</v>
      </c>
      <c r="B240" s="6" t="s">
        <v>123</v>
      </c>
      <c r="C240" s="1" t="s">
        <v>341</v>
      </c>
      <c r="D240" s="1" t="s">
        <v>341</v>
      </c>
      <c r="E240" s="1" t="s">
        <v>23</v>
      </c>
      <c r="F240" s="5">
        <v>43282</v>
      </c>
      <c r="G240" s="28">
        <v>5.416666666666667</v>
      </c>
      <c r="H240" s="1">
        <v>7</v>
      </c>
      <c r="I240" s="1" t="s">
        <v>32</v>
      </c>
      <c r="J240" s="4" t="s">
        <v>36</v>
      </c>
      <c r="K240" s="1" t="s">
        <v>37</v>
      </c>
    </row>
    <row r="241" spans="1:11" x14ac:dyDescent="0.2">
      <c r="A241" s="30">
        <f>ROWS(B241:B$389)</f>
        <v>149</v>
      </c>
      <c r="B241" s="6" t="s">
        <v>122</v>
      </c>
      <c r="C241" s="1" t="s">
        <v>344</v>
      </c>
      <c r="D241" s="1" t="s">
        <v>344</v>
      </c>
      <c r="E241" s="1" t="s">
        <v>22</v>
      </c>
      <c r="F241" s="5">
        <v>43254</v>
      </c>
      <c r="G241" s="28">
        <v>1.8743055555555554</v>
      </c>
      <c r="H241" s="1">
        <v>10</v>
      </c>
      <c r="I241" s="1" t="s">
        <v>32</v>
      </c>
      <c r="J241" s="4" t="s">
        <v>36</v>
      </c>
      <c r="K241" s="1" t="s">
        <v>37</v>
      </c>
    </row>
    <row r="242" spans="1:11" ht="15" customHeight="1" x14ac:dyDescent="0.25">
      <c r="A242" s="30">
        <f>ROWS(B242:B$389)</f>
        <v>148</v>
      </c>
      <c r="B242" s="6" t="s">
        <v>312</v>
      </c>
      <c r="C242" s="1" t="s">
        <v>345</v>
      </c>
      <c r="D242" s="1" t="s">
        <v>345</v>
      </c>
      <c r="E242" s="1" t="s">
        <v>23</v>
      </c>
      <c r="F242" s="5">
        <v>43253</v>
      </c>
      <c r="G242" s="28">
        <v>6.15625</v>
      </c>
      <c r="H242" s="1">
        <v>8</v>
      </c>
      <c r="I242" s="1" t="s">
        <v>33</v>
      </c>
      <c r="J242" s="4" t="s">
        <v>36</v>
      </c>
      <c r="K242" s="1" t="s">
        <v>37</v>
      </c>
    </row>
    <row r="243" spans="1:11" x14ac:dyDescent="0.2">
      <c r="A243" s="30">
        <f>ROWS(B243:B$389)</f>
        <v>147</v>
      </c>
      <c r="B243" s="6" t="s">
        <v>121</v>
      </c>
      <c r="C243" s="1" t="s">
        <v>345</v>
      </c>
      <c r="D243" s="1" t="s">
        <v>345</v>
      </c>
      <c r="E243" s="1" t="s">
        <v>23</v>
      </c>
      <c r="F243" s="5">
        <v>43252</v>
      </c>
      <c r="G243" s="28">
        <v>1.3131018518518518</v>
      </c>
      <c r="H243" s="1">
        <v>7</v>
      </c>
      <c r="I243" s="1" t="s">
        <v>32</v>
      </c>
      <c r="J243" s="4" t="s">
        <v>36</v>
      </c>
      <c r="K243" s="1" t="s">
        <v>37</v>
      </c>
    </row>
    <row r="244" spans="1:11" ht="15" customHeight="1" x14ac:dyDescent="0.2">
      <c r="A244" s="30">
        <f>ROWS(B244:B$389)</f>
        <v>146</v>
      </c>
      <c r="B244" s="6" t="s">
        <v>119</v>
      </c>
      <c r="C244" s="1" t="s">
        <v>345</v>
      </c>
      <c r="D244" s="1" t="s">
        <v>345</v>
      </c>
      <c r="E244" s="1" t="s">
        <v>23</v>
      </c>
      <c r="F244" s="5">
        <v>43224</v>
      </c>
      <c r="G244" s="28">
        <v>0.47291666666666665</v>
      </c>
      <c r="H244" s="1">
        <v>10</v>
      </c>
      <c r="I244" s="1" t="s">
        <v>33</v>
      </c>
      <c r="J244" s="4" t="s">
        <v>36</v>
      </c>
      <c r="K244" s="1" t="s">
        <v>37</v>
      </c>
    </row>
    <row r="245" spans="1:11" ht="15" customHeight="1" x14ac:dyDescent="0.2">
      <c r="A245" s="30">
        <f>ROWS(B245:B$389)</f>
        <v>145</v>
      </c>
      <c r="B245" s="6" t="s">
        <v>488</v>
      </c>
      <c r="C245" s="1" t="s">
        <v>345</v>
      </c>
      <c r="D245" s="1" t="s">
        <v>345</v>
      </c>
      <c r="E245" s="1" t="s">
        <v>27</v>
      </c>
      <c r="F245" s="5">
        <v>43223</v>
      </c>
      <c r="G245" s="28">
        <v>0.60416666666666663</v>
      </c>
      <c r="H245" s="1">
        <v>1</v>
      </c>
      <c r="I245" s="1" t="s">
        <v>33</v>
      </c>
      <c r="J245" s="4" t="s">
        <v>36</v>
      </c>
      <c r="K245" s="1" t="s">
        <v>37</v>
      </c>
    </row>
    <row r="246" spans="1:11" x14ac:dyDescent="0.2">
      <c r="A246" s="30">
        <f>ROWS(B246:B$389)</f>
        <v>144</v>
      </c>
      <c r="B246" s="6" t="s">
        <v>117</v>
      </c>
      <c r="C246" s="1" t="s">
        <v>341</v>
      </c>
      <c r="D246" s="1" t="s">
        <v>341</v>
      </c>
      <c r="E246" s="1" t="s">
        <v>120</v>
      </c>
      <c r="F246" s="5">
        <v>43222</v>
      </c>
      <c r="G246" s="28">
        <v>0.41666666666666669</v>
      </c>
      <c r="H246" s="1">
        <v>7</v>
      </c>
      <c r="I246" s="1" t="s">
        <v>32</v>
      </c>
      <c r="J246" s="4" t="s">
        <v>36</v>
      </c>
      <c r="K246" s="1" t="s">
        <v>38</v>
      </c>
    </row>
    <row r="247" spans="1:11" ht="15" x14ac:dyDescent="0.25">
      <c r="A247" s="30">
        <f>ROWS(B247:B$389)</f>
        <v>143</v>
      </c>
      <c r="B247" s="6" t="s">
        <v>320</v>
      </c>
      <c r="C247" s="1" t="s">
        <v>347</v>
      </c>
      <c r="D247" s="1" t="s">
        <v>347</v>
      </c>
      <c r="E247" s="1" t="s">
        <v>21</v>
      </c>
      <c r="F247" s="5">
        <v>43221</v>
      </c>
      <c r="G247" s="28">
        <v>0.33333333333333331</v>
      </c>
      <c r="H247" s="1">
        <v>10</v>
      </c>
      <c r="I247" s="1" t="s">
        <v>32</v>
      </c>
      <c r="J247" s="4" t="s">
        <v>36</v>
      </c>
      <c r="K247" s="1" t="s">
        <v>37</v>
      </c>
    </row>
    <row r="248" spans="1:11" x14ac:dyDescent="0.2">
      <c r="A248" s="30">
        <f>ROWS(B248:B$389)</f>
        <v>142</v>
      </c>
      <c r="B248" s="6" t="s">
        <v>116</v>
      </c>
      <c r="C248" s="1" t="s">
        <v>343</v>
      </c>
      <c r="D248" s="1" t="s">
        <v>350</v>
      </c>
      <c r="E248" s="1" t="s">
        <v>23</v>
      </c>
      <c r="F248" s="5">
        <v>43193</v>
      </c>
      <c r="G248" s="28">
        <v>1.5493055555555555</v>
      </c>
      <c r="H248" s="1">
        <v>9</v>
      </c>
      <c r="I248" s="1" t="s">
        <v>32</v>
      </c>
      <c r="J248" s="4" t="s">
        <v>36</v>
      </c>
      <c r="K248" s="1" t="s">
        <v>37</v>
      </c>
    </row>
    <row r="249" spans="1:11" ht="15" x14ac:dyDescent="0.25">
      <c r="A249" s="30">
        <f>ROWS(B249:B$389)</f>
        <v>141</v>
      </c>
      <c r="B249" s="6" t="s">
        <v>309</v>
      </c>
      <c r="C249" s="1" t="s">
        <v>345</v>
      </c>
      <c r="D249" s="1" t="s">
        <v>345</v>
      </c>
      <c r="E249" s="1" t="s">
        <v>23</v>
      </c>
      <c r="F249" s="5">
        <v>43192</v>
      </c>
      <c r="G249" s="28">
        <v>8.0909722222222218</v>
      </c>
      <c r="H249" s="1">
        <v>11</v>
      </c>
      <c r="I249" s="1" t="s">
        <v>33</v>
      </c>
      <c r="J249" s="4" t="s">
        <v>36</v>
      </c>
      <c r="K249" s="1" t="s">
        <v>37</v>
      </c>
    </row>
    <row r="250" spans="1:11" x14ac:dyDescent="0.2">
      <c r="A250" s="30">
        <f>ROWS(B250:B$389)</f>
        <v>140</v>
      </c>
      <c r="B250" s="6" t="s">
        <v>115</v>
      </c>
      <c r="C250" s="1" t="s">
        <v>350</v>
      </c>
      <c r="D250" s="1" t="s">
        <v>350</v>
      </c>
      <c r="E250" s="1" t="s">
        <v>23</v>
      </c>
      <c r="F250" s="5">
        <v>43191</v>
      </c>
      <c r="G250" s="28">
        <v>1.25</v>
      </c>
      <c r="H250" s="1">
        <v>7</v>
      </c>
      <c r="I250" s="1" t="s">
        <v>33</v>
      </c>
      <c r="J250" s="4" t="s">
        <v>36</v>
      </c>
      <c r="K250" s="1" t="s">
        <v>37</v>
      </c>
    </row>
    <row r="251" spans="1:11" x14ac:dyDescent="0.2">
      <c r="A251" s="30">
        <f>ROWS(B251:B$389)</f>
        <v>139</v>
      </c>
      <c r="B251" s="6" t="s">
        <v>114</v>
      </c>
      <c r="C251" s="1" t="s">
        <v>345</v>
      </c>
      <c r="D251" s="1" t="s">
        <v>345</v>
      </c>
      <c r="E251" s="1" t="s">
        <v>28</v>
      </c>
      <c r="F251" s="5">
        <v>43161</v>
      </c>
      <c r="G251" s="28">
        <v>0.20833333333333334</v>
      </c>
      <c r="H251" s="1">
        <v>7</v>
      </c>
      <c r="I251" s="1" t="s">
        <v>33</v>
      </c>
      <c r="J251" s="4" t="s">
        <v>39</v>
      </c>
      <c r="K251" s="1" t="s">
        <v>38</v>
      </c>
    </row>
    <row r="252" spans="1:11" x14ac:dyDescent="0.2">
      <c r="A252" s="30">
        <f>ROWS(B252:B$389)</f>
        <v>138</v>
      </c>
      <c r="B252" s="6" t="s">
        <v>113</v>
      </c>
      <c r="C252" s="1" t="s">
        <v>341</v>
      </c>
      <c r="D252" s="1" t="s">
        <v>341</v>
      </c>
      <c r="E252" s="1" t="s">
        <v>23</v>
      </c>
      <c r="F252" s="5">
        <v>43160</v>
      </c>
      <c r="G252" s="28">
        <v>5.2085995370370375</v>
      </c>
      <c r="H252" s="1">
        <v>11</v>
      </c>
      <c r="I252" s="1" t="s">
        <v>32</v>
      </c>
      <c r="J252" s="4" t="s">
        <v>36</v>
      </c>
      <c r="K252" s="1" t="s">
        <v>37</v>
      </c>
    </row>
    <row r="253" spans="1:11" x14ac:dyDescent="0.2">
      <c r="A253" s="30">
        <f>ROWS(B253:B$389)</f>
        <v>137</v>
      </c>
      <c r="B253" s="6" t="s">
        <v>112</v>
      </c>
      <c r="C253" s="1" t="s">
        <v>343</v>
      </c>
      <c r="D253" s="1" t="s">
        <v>350</v>
      </c>
      <c r="E253" s="1" t="s">
        <v>23</v>
      </c>
      <c r="F253" s="5">
        <v>43135</v>
      </c>
      <c r="G253" s="28">
        <v>1.5493055555555555</v>
      </c>
      <c r="H253" s="1">
        <v>7</v>
      </c>
      <c r="I253" s="1" t="s">
        <v>32</v>
      </c>
      <c r="J253" s="4" t="s">
        <v>36</v>
      </c>
      <c r="K253" s="1" t="s">
        <v>37</v>
      </c>
    </row>
    <row r="254" spans="1:11" ht="14.25" customHeight="1" x14ac:dyDescent="0.2">
      <c r="A254" s="30">
        <f>ROWS(B254:B$389)</f>
        <v>136</v>
      </c>
      <c r="B254" s="6" t="s">
        <v>111</v>
      </c>
      <c r="C254" s="1" t="s">
        <v>343</v>
      </c>
      <c r="D254" s="1" t="s">
        <v>350</v>
      </c>
      <c r="E254" s="1" t="s">
        <v>23</v>
      </c>
      <c r="F254" s="5">
        <v>43134</v>
      </c>
      <c r="G254" s="28">
        <v>3.3743055555555554</v>
      </c>
      <c r="H254" s="1">
        <v>8</v>
      </c>
      <c r="I254" s="1" t="s">
        <v>32</v>
      </c>
      <c r="J254" s="4" t="s">
        <v>36</v>
      </c>
      <c r="K254" s="1" t="s">
        <v>37</v>
      </c>
    </row>
    <row r="255" spans="1:11" ht="14.25" customHeight="1" x14ac:dyDescent="0.2">
      <c r="A255" s="30">
        <f>ROWS(B255:B$389)</f>
        <v>135</v>
      </c>
      <c r="B255" s="6" t="s">
        <v>110</v>
      </c>
      <c r="C255" s="1" t="s">
        <v>346</v>
      </c>
      <c r="D255" s="1" t="s">
        <v>346</v>
      </c>
      <c r="E255" s="1" t="s">
        <v>22</v>
      </c>
      <c r="F255" s="5">
        <v>43133</v>
      </c>
      <c r="G255" s="28">
        <v>1.4583333333333333</v>
      </c>
      <c r="H255" s="1">
        <v>10</v>
      </c>
      <c r="I255" s="1" t="s">
        <v>32</v>
      </c>
      <c r="J255" s="4" t="s">
        <v>36</v>
      </c>
      <c r="K255" s="1" t="s">
        <v>37</v>
      </c>
    </row>
    <row r="256" spans="1:11" ht="15" customHeight="1" x14ac:dyDescent="0.2">
      <c r="A256" s="30">
        <f>ROWS(B256:B$389)</f>
        <v>134</v>
      </c>
      <c r="B256" s="6" t="s">
        <v>109</v>
      </c>
      <c r="C256" s="1" t="s">
        <v>352</v>
      </c>
      <c r="D256" s="1" t="s">
        <v>352</v>
      </c>
      <c r="E256" s="1" t="s">
        <v>21</v>
      </c>
      <c r="F256" s="5">
        <v>43132</v>
      </c>
      <c r="G256" s="28">
        <v>0.125</v>
      </c>
      <c r="H256" s="1">
        <v>6</v>
      </c>
      <c r="I256" s="1" t="s">
        <v>33</v>
      </c>
      <c r="J256" s="4" t="s">
        <v>36</v>
      </c>
      <c r="K256" s="1" t="s">
        <v>38</v>
      </c>
    </row>
    <row r="257" spans="1:11" x14ac:dyDescent="0.2">
      <c r="A257" s="30">
        <f>ROWS(B257:B$389)</f>
        <v>133</v>
      </c>
      <c r="B257" s="6" t="s">
        <v>106</v>
      </c>
      <c r="C257" s="1" t="s">
        <v>352</v>
      </c>
      <c r="D257" s="1" t="s">
        <v>352</v>
      </c>
      <c r="E257" s="1" t="s">
        <v>21</v>
      </c>
      <c r="F257" s="5">
        <v>43105</v>
      </c>
      <c r="G257" s="28">
        <v>4.1666666666666664E-2</v>
      </c>
      <c r="H257" s="1">
        <v>6</v>
      </c>
      <c r="I257" s="1" t="s">
        <v>33</v>
      </c>
      <c r="J257" s="4" t="s">
        <v>36</v>
      </c>
      <c r="K257" s="1" t="s">
        <v>37</v>
      </c>
    </row>
    <row r="258" spans="1:11" x14ac:dyDescent="0.2">
      <c r="A258" s="30">
        <f>ROWS(B258:B$389)</f>
        <v>132</v>
      </c>
      <c r="B258" s="6" t="s">
        <v>105</v>
      </c>
      <c r="C258" s="1" t="s">
        <v>346</v>
      </c>
      <c r="D258" s="1" t="s">
        <v>346</v>
      </c>
      <c r="E258" s="1" t="s">
        <v>30</v>
      </c>
      <c r="F258" s="5">
        <v>43104</v>
      </c>
      <c r="G258" s="28">
        <v>0.45833333333333331</v>
      </c>
      <c r="H258" s="1">
        <v>7</v>
      </c>
      <c r="I258" s="1" t="s">
        <v>32</v>
      </c>
      <c r="J258" s="4" t="s">
        <v>36</v>
      </c>
      <c r="K258" s="1" t="s">
        <v>38</v>
      </c>
    </row>
    <row r="259" spans="1:11" ht="15" customHeight="1" x14ac:dyDescent="0.2">
      <c r="A259" s="30">
        <f>ROWS(B259:B$389)</f>
        <v>131</v>
      </c>
      <c r="B259" s="6" t="s">
        <v>104</v>
      </c>
      <c r="C259" s="1" t="s">
        <v>353</v>
      </c>
      <c r="D259" s="1" t="s">
        <v>353</v>
      </c>
      <c r="E259" s="1" t="s">
        <v>30</v>
      </c>
      <c r="F259" s="5">
        <v>43103</v>
      </c>
      <c r="G259" s="28">
        <v>0.41666666666666669</v>
      </c>
      <c r="H259" s="1">
        <v>8</v>
      </c>
      <c r="I259" s="1" t="s">
        <v>32</v>
      </c>
      <c r="J259" s="4" t="s">
        <v>36</v>
      </c>
      <c r="K259" s="1" t="s">
        <v>38</v>
      </c>
    </row>
    <row r="260" spans="1:11" x14ac:dyDescent="0.2">
      <c r="A260" s="30">
        <f>ROWS(B260:B$389)</f>
        <v>130</v>
      </c>
      <c r="B260" s="6" t="s">
        <v>103</v>
      </c>
      <c r="C260" s="1" t="s">
        <v>353</v>
      </c>
      <c r="D260" s="1" t="s">
        <v>353</v>
      </c>
      <c r="E260" s="1" t="s">
        <v>22</v>
      </c>
      <c r="F260" s="5">
        <v>43102</v>
      </c>
      <c r="G260" s="28">
        <v>1.25</v>
      </c>
      <c r="H260" s="1">
        <v>7</v>
      </c>
      <c r="I260" s="1" t="s">
        <v>34</v>
      </c>
      <c r="J260" s="4" t="s">
        <v>36</v>
      </c>
      <c r="K260" s="1" t="s">
        <v>37</v>
      </c>
    </row>
    <row r="261" spans="1:11" x14ac:dyDescent="0.2">
      <c r="A261" s="30">
        <f>ROWS(B261:B$389)</f>
        <v>129</v>
      </c>
      <c r="B261" s="6" t="s">
        <v>102</v>
      </c>
      <c r="C261" s="1" t="s">
        <v>343</v>
      </c>
      <c r="D261" s="1" t="s">
        <v>343</v>
      </c>
      <c r="E261" s="1" t="s">
        <v>107</v>
      </c>
      <c r="F261" s="5">
        <v>43101</v>
      </c>
      <c r="G261" s="28">
        <v>0.57291666666666663</v>
      </c>
      <c r="H261" s="1">
        <v>8</v>
      </c>
      <c r="I261" s="1" t="s">
        <v>32</v>
      </c>
      <c r="J261" s="4" t="s">
        <v>108</v>
      </c>
      <c r="K261" s="1" t="s">
        <v>37</v>
      </c>
    </row>
    <row r="262" spans="1:11" x14ac:dyDescent="0.2">
      <c r="A262" s="30">
        <f>ROWS(B262:B$389)</f>
        <v>128</v>
      </c>
      <c r="B262" s="6" t="s">
        <v>100</v>
      </c>
      <c r="C262" s="1" t="s">
        <v>345</v>
      </c>
      <c r="D262" s="1" t="s">
        <v>345</v>
      </c>
      <c r="E262" s="1" t="s">
        <v>65</v>
      </c>
      <c r="F262" s="5">
        <v>43071</v>
      </c>
      <c r="G262" s="28">
        <v>4.1666666666666664E-2</v>
      </c>
      <c r="H262" s="1">
        <v>7</v>
      </c>
      <c r="I262" s="1" t="s">
        <v>34</v>
      </c>
      <c r="J262" s="4" t="s">
        <v>36</v>
      </c>
      <c r="K262" s="1" t="s">
        <v>38</v>
      </c>
    </row>
    <row r="263" spans="1:11" x14ac:dyDescent="0.2">
      <c r="A263" s="30">
        <f>ROWS(B263:B$389)</f>
        <v>127</v>
      </c>
      <c r="B263" s="6" t="s">
        <v>99</v>
      </c>
      <c r="C263" s="1" t="s">
        <v>343</v>
      </c>
      <c r="D263" s="1" t="s">
        <v>343</v>
      </c>
      <c r="E263" s="1" t="s">
        <v>27</v>
      </c>
      <c r="F263" s="5">
        <v>43070</v>
      </c>
      <c r="G263" s="28">
        <v>0.54166666666666663</v>
      </c>
      <c r="H263" s="1">
        <v>7</v>
      </c>
      <c r="I263" s="1" t="s">
        <v>33</v>
      </c>
      <c r="J263" s="4" t="s">
        <v>36</v>
      </c>
      <c r="K263" s="1" t="s">
        <v>38</v>
      </c>
    </row>
    <row r="264" spans="1:11" x14ac:dyDescent="0.2">
      <c r="A264" s="30">
        <f>ROWS(B264:B$389)</f>
        <v>126</v>
      </c>
      <c r="B264" s="6" t="s">
        <v>447</v>
      </c>
      <c r="C264" s="1" t="s">
        <v>20</v>
      </c>
      <c r="D264" s="1" t="s">
        <v>20</v>
      </c>
      <c r="E264" s="1" t="s">
        <v>29</v>
      </c>
      <c r="F264" s="5">
        <v>43048</v>
      </c>
      <c r="G264" s="28">
        <v>2.7083333333333335</v>
      </c>
      <c r="H264" s="1">
        <v>6</v>
      </c>
      <c r="I264" s="1" t="s">
        <v>33</v>
      </c>
      <c r="J264" s="4" t="s">
        <v>101</v>
      </c>
      <c r="K264" s="1" t="s">
        <v>37</v>
      </c>
    </row>
    <row r="265" spans="1:11" x14ac:dyDescent="0.2">
      <c r="A265" s="30">
        <f>ROWS(B265:B$389)</f>
        <v>125</v>
      </c>
      <c r="B265" s="6" t="s">
        <v>98</v>
      </c>
      <c r="C265" s="1" t="s">
        <v>343</v>
      </c>
      <c r="D265" s="1" t="s">
        <v>343</v>
      </c>
      <c r="E265" s="1" t="s">
        <v>23</v>
      </c>
      <c r="F265" s="5">
        <v>43047</v>
      </c>
      <c r="G265" s="28">
        <v>1.375</v>
      </c>
      <c r="H265" s="1">
        <v>7</v>
      </c>
      <c r="I265" s="1" t="s">
        <v>33</v>
      </c>
      <c r="J265" s="4" t="s">
        <v>36</v>
      </c>
      <c r="K265" s="1" t="s">
        <v>38</v>
      </c>
    </row>
    <row r="266" spans="1:11" ht="15" x14ac:dyDescent="0.25">
      <c r="A266" s="30">
        <f>ROWS(B266:B$389)</f>
        <v>124</v>
      </c>
      <c r="B266" s="6" t="s">
        <v>495</v>
      </c>
      <c r="C266" s="1" t="s">
        <v>348</v>
      </c>
      <c r="D266" s="1" t="s">
        <v>348</v>
      </c>
      <c r="E266" s="1" t="s">
        <v>27</v>
      </c>
      <c r="F266" s="5">
        <v>43046</v>
      </c>
      <c r="G266" s="28">
        <v>0.83333333333333337</v>
      </c>
      <c r="H266" s="1">
        <v>10</v>
      </c>
      <c r="I266" s="1" t="s">
        <v>32</v>
      </c>
      <c r="J266" s="4" t="s">
        <v>36</v>
      </c>
      <c r="K266" s="1" t="s">
        <v>37</v>
      </c>
    </row>
    <row r="267" spans="1:11" x14ac:dyDescent="0.2">
      <c r="A267" s="30">
        <f>ROWS(B267:B$389)</f>
        <v>123</v>
      </c>
      <c r="B267" s="6" t="s">
        <v>96</v>
      </c>
      <c r="C267" s="1" t="s">
        <v>348</v>
      </c>
      <c r="D267" s="1" t="s">
        <v>348</v>
      </c>
      <c r="E267" s="1" t="s">
        <v>27</v>
      </c>
      <c r="F267" s="5">
        <v>43045</v>
      </c>
      <c r="G267" s="28">
        <v>0.41666666666666669</v>
      </c>
      <c r="H267" s="1">
        <v>9</v>
      </c>
      <c r="I267" s="1" t="s">
        <v>32</v>
      </c>
      <c r="J267" s="4" t="s">
        <v>36</v>
      </c>
      <c r="K267" s="1" t="s">
        <v>37</v>
      </c>
    </row>
    <row r="268" spans="1:11" ht="14.25" customHeight="1" x14ac:dyDescent="0.2">
      <c r="A268" s="30">
        <f>ROWS(B268:B$389)</f>
        <v>122</v>
      </c>
      <c r="B268" s="6" t="s">
        <v>95</v>
      </c>
      <c r="C268" s="1" t="s">
        <v>343</v>
      </c>
      <c r="D268" s="1" t="s">
        <v>227</v>
      </c>
      <c r="E268" s="1" t="s">
        <v>21</v>
      </c>
      <c r="F268" s="5">
        <v>43044</v>
      </c>
      <c r="G268" s="28">
        <v>6.9444444444444434E-2</v>
      </c>
      <c r="H268" s="1">
        <v>7</v>
      </c>
      <c r="I268" s="1" t="s">
        <v>52</v>
      </c>
      <c r="J268" s="4" t="s">
        <v>36</v>
      </c>
      <c r="K268" s="1" t="s">
        <v>37</v>
      </c>
    </row>
    <row r="269" spans="1:11" ht="15" customHeight="1" x14ac:dyDescent="0.2">
      <c r="A269" s="30">
        <f>ROWS(B269:B$389)</f>
        <v>121</v>
      </c>
      <c r="B269" s="6" t="s">
        <v>318</v>
      </c>
      <c r="C269" s="1" t="s">
        <v>343</v>
      </c>
      <c r="D269" s="1" t="s">
        <v>227</v>
      </c>
      <c r="E269" s="1" t="s">
        <v>21</v>
      </c>
      <c r="F269" s="5">
        <v>43043</v>
      </c>
      <c r="G269" s="28">
        <v>3.8194444444444441E-2</v>
      </c>
      <c r="H269" s="1">
        <v>7</v>
      </c>
      <c r="I269" s="1" t="s">
        <v>34</v>
      </c>
      <c r="J269" s="4" t="s">
        <v>36</v>
      </c>
      <c r="K269" s="1" t="s">
        <v>37</v>
      </c>
    </row>
    <row r="270" spans="1:11" ht="15" customHeight="1" x14ac:dyDescent="0.2">
      <c r="A270" s="30">
        <f>ROWS(B270:B$389)</f>
        <v>120</v>
      </c>
      <c r="B270" s="6" t="s">
        <v>94</v>
      </c>
      <c r="C270" s="1" t="s">
        <v>341</v>
      </c>
      <c r="D270" s="1" t="s">
        <v>341</v>
      </c>
      <c r="E270" s="1" t="s">
        <v>21</v>
      </c>
      <c r="F270" s="5">
        <v>43042</v>
      </c>
      <c r="G270" s="28">
        <v>3.125</v>
      </c>
      <c r="H270" s="1">
        <v>10</v>
      </c>
      <c r="I270" s="1" t="s">
        <v>32</v>
      </c>
      <c r="J270" s="4" t="s">
        <v>36</v>
      </c>
      <c r="K270" s="1" t="s">
        <v>37</v>
      </c>
    </row>
    <row r="271" spans="1:11" ht="14.25" customHeight="1" x14ac:dyDescent="0.2">
      <c r="A271" s="30">
        <f>ROWS(B271:B$389)</f>
        <v>119</v>
      </c>
      <c r="B271" s="6" t="s">
        <v>510</v>
      </c>
      <c r="C271" s="1" t="s">
        <v>343</v>
      </c>
      <c r="D271" s="1" t="s">
        <v>350</v>
      </c>
      <c r="E271" s="1" t="s">
        <v>27</v>
      </c>
      <c r="F271" s="5">
        <v>43041</v>
      </c>
      <c r="G271" s="28">
        <v>0.125</v>
      </c>
      <c r="H271" s="1">
        <v>8</v>
      </c>
      <c r="I271" s="1" t="s">
        <v>32</v>
      </c>
      <c r="J271" s="4" t="s">
        <v>36</v>
      </c>
      <c r="K271" s="1" t="s">
        <v>38</v>
      </c>
    </row>
    <row r="272" spans="1:11" x14ac:dyDescent="0.2">
      <c r="A272" s="30">
        <f>ROWS(B272:B$389)</f>
        <v>118</v>
      </c>
      <c r="B272" s="6" t="s">
        <v>93</v>
      </c>
      <c r="C272" s="1" t="s">
        <v>343</v>
      </c>
      <c r="D272" s="1" t="s">
        <v>350</v>
      </c>
      <c r="E272" s="1" t="s">
        <v>24</v>
      </c>
      <c r="F272" s="5">
        <v>43040</v>
      </c>
      <c r="G272" s="28">
        <v>0.30091435185185184</v>
      </c>
      <c r="H272" s="1">
        <v>9</v>
      </c>
      <c r="I272" s="1" t="s">
        <v>32</v>
      </c>
      <c r="J272" s="4" t="s">
        <v>36</v>
      </c>
      <c r="K272" s="1" t="s">
        <v>37</v>
      </c>
    </row>
    <row r="273" spans="1:11" x14ac:dyDescent="0.2">
      <c r="A273" s="30">
        <f>ROWS(B273:B$389)</f>
        <v>117</v>
      </c>
      <c r="B273" s="6" t="s">
        <v>92</v>
      </c>
      <c r="C273" s="1" t="s">
        <v>345</v>
      </c>
      <c r="D273" s="1" t="s">
        <v>345</v>
      </c>
      <c r="E273" s="1" t="s">
        <v>23</v>
      </c>
      <c r="F273" s="5">
        <v>43013</v>
      </c>
      <c r="G273" s="28">
        <v>1.0416666666666667</v>
      </c>
      <c r="H273" s="1">
        <v>7</v>
      </c>
      <c r="I273" s="1" t="s">
        <v>32</v>
      </c>
      <c r="J273" s="4" t="s">
        <v>36</v>
      </c>
      <c r="K273" s="1" t="s">
        <v>38</v>
      </c>
    </row>
    <row r="274" spans="1:11" x14ac:dyDescent="0.2">
      <c r="A274" s="30">
        <f>ROWS(B274:B$389)</f>
        <v>116</v>
      </c>
      <c r="B274" s="6" t="s">
        <v>90</v>
      </c>
      <c r="C274" s="1" t="s">
        <v>343</v>
      </c>
      <c r="D274" s="1" t="s">
        <v>343</v>
      </c>
      <c r="E274" s="1" t="s">
        <v>27</v>
      </c>
      <c r="F274" s="5">
        <v>43012</v>
      </c>
      <c r="G274" s="28">
        <v>0.33888888888888885</v>
      </c>
      <c r="H274" s="1">
        <v>4</v>
      </c>
      <c r="I274" s="1" t="s">
        <v>33</v>
      </c>
      <c r="J274" s="4" t="s">
        <v>66</v>
      </c>
      <c r="K274" s="1" t="s">
        <v>38</v>
      </c>
    </row>
    <row r="275" spans="1:11" x14ac:dyDescent="0.2">
      <c r="A275" s="30">
        <f>ROWS(B275:B$389)</f>
        <v>115</v>
      </c>
      <c r="B275" s="6" t="s">
        <v>89</v>
      </c>
      <c r="C275" s="1" t="s">
        <v>343</v>
      </c>
      <c r="D275" s="1" t="s">
        <v>343</v>
      </c>
      <c r="E275" s="1" t="s">
        <v>23</v>
      </c>
      <c r="F275" s="5">
        <v>43011</v>
      </c>
      <c r="G275" s="28">
        <v>1.4111111111111112</v>
      </c>
      <c r="H275" s="1">
        <v>8</v>
      </c>
      <c r="I275" s="1" t="s">
        <v>32</v>
      </c>
      <c r="J275" s="4" t="s">
        <v>36</v>
      </c>
      <c r="K275" s="1" t="s">
        <v>38</v>
      </c>
    </row>
    <row r="276" spans="1:11" x14ac:dyDescent="0.2">
      <c r="A276" s="30">
        <f>ROWS(B276:B$389)</f>
        <v>114</v>
      </c>
      <c r="B276" s="6" t="s">
        <v>88</v>
      </c>
      <c r="C276" s="1" t="s">
        <v>343</v>
      </c>
      <c r="D276" s="1" t="s">
        <v>343</v>
      </c>
      <c r="E276" s="1" t="s">
        <v>24</v>
      </c>
      <c r="F276" s="5">
        <v>43010</v>
      </c>
      <c r="G276" s="28">
        <v>0.56369212962962967</v>
      </c>
      <c r="H276" s="1">
        <v>8</v>
      </c>
      <c r="I276" s="1" t="s">
        <v>32</v>
      </c>
      <c r="J276" s="4" t="s">
        <v>36</v>
      </c>
      <c r="K276" s="1" t="s">
        <v>37</v>
      </c>
    </row>
    <row r="277" spans="1:11" ht="15" x14ac:dyDescent="0.25">
      <c r="A277" s="30">
        <f>ROWS(B277:B$389)</f>
        <v>113</v>
      </c>
      <c r="B277" s="6" t="s">
        <v>323</v>
      </c>
      <c r="C277" s="1" t="s">
        <v>341</v>
      </c>
      <c r="D277" s="1" t="s">
        <v>341</v>
      </c>
      <c r="E277" s="1" t="s">
        <v>22</v>
      </c>
      <c r="F277" s="5">
        <v>43009</v>
      </c>
      <c r="G277" s="28">
        <v>7.291666666666667</v>
      </c>
      <c r="H277" s="1">
        <v>11</v>
      </c>
      <c r="I277" s="1" t="s">
        <v>32</v>
      </c>
      <c r="J277" s="4" t="s">
        <v>36</v>
      </c>
      <c r="K277" s="1" t="s">
        <v>37</v>
      </c>
    </row>
    <row r="278" spans="1:11" x14ac:dyDescent="0.2">
      <c r="A278" s="30">
        <f>ROWS(B278:B$389)</f>
        <v>112</v>
      </c>
      <c r="B278" s="6" t="s">
        <v>86</v>
      </c>
      <c r="C278" s="1" t="s">
        <v>350</v>
      </c>
      <c r="D278" s="1" t="s">
        <v>350</v>
      </c>
      <c r="E278" s="1" t="s">
        <v>23</v>
      </c>
      <c r="F278" s="5">
        <v>42983</v>
      </c>
      <c r="G278" s="28">
        <v>1.4583333333333333</v>
      </c>
      <c r="H278" s="1">
        <v>7</v>
      </c>
      <c r="I278" s="1" t="s">
        <v>33</v>
      </c>
      <c r="J278" s="4" t="s">
        <v>36</v>
      </c>
      <c r="K278" s="1" t="s">
        <v>37</v>
      </c>
    </row>
    <row r="279" spans="1:11" x14ac:dyDescent="0.2">
      <c r="A279" s="30">
        <f>ROWS(B279:B$389)</f>
        <v>111</v>
      </c>
      <c r="B279" s="6" t="s">
        <v>85</v>
      </c>
      <c r="C279" s="1" t="s">
        <v>345</v>
      </c>
      <c r="D279" s="1" t="s">
        <v>345</v>
      </c>
      <c r="E279" s="1" t="s">
        <v>23</v>
      </c>
      <c r="F279" s="5">
        <v>42982</v>
      </c>
      <c r="G279" s="28">
        <v>1.6666666666666667</v>
      </c>
      <c r="H279" s="1">
        <v>8</v>
      </c>
      <c r="I279" s="1" t="s">
        <v>33</v>
      </c>
      <c r="J279" s="4" t="s">
        <v>36</v>
      </c>
      <c r="K279" s="1" t="s">
        <v>38</v>
      </c>
    </row>
    <row r="280" spans="1:11" x14ac:dyDescent="0.2">
      <c r="A280" s="30">
        <f>ROWS(B280:B$389)</f>
        <v>110</v>
      </c>
      <c r="B280" s="6" t="s">
        <v>84</v>
      </c>
      <c r="C280" s="1" t="s">
        <v>341</v>
      </c>
      <c r="D280" s="1" t="s">
        <v>341</v>
      </c>
      <c r="E280" s="1" t="s">
        <v>28</v>
      </c>
      <c r="F280" s="5">
        <v>42981</v>
      </c>
      <c r="G280" s="28">
        <v>2.7083333333333335</v>
      </c>
      <c r="H280" s="1">
        <v>9</v>
      </c>
      <c r="I280" s="1" t="s">
        <v>33</v>
      </c>
      <c r="J280" s="4" t="s">
        <v>39</v>
      </c>
      <c r="K280" s="1" t="s">
        <v>37</v>
      </c>
    </row>
    <row r="281" spans="1:11" ht="15" customHeight="1" x14ac:dyDescent="0.2">
      <c r="A281" s="30">
        <f>ROWS(B281:B$389)</f>
        <v>109</v>
      </c>
      <c r="B281" s="6" t="s">
        <v>83</v>
      </c>
      <c r="C281" s="1" t="s">
        <v>350</v>
      </c>
      <c r="D281" s="1" t="s">
        <v>350</v>
      </c>
      <c r="E281" s="1" t="s">
        <v>23</v>
      </c>
      <c r="F281" s="5">
        <v>42980</v>
      </c>
      <c r="G281" s="28">
        <v>1.4583333333333333</v>
      </c>
      <c r="H281" s="1">
        <v>7</v>
      </c>
      <c r="I281" s="1" t="s">
        <v>33</v>
      </c>
      <c r="J281" s="4" t="s">
        <v>36</v>
      </c>
      <c r="K281" s="1" t="s">
        <v>37</v>
      </c>
    </row>
    <row r="282" spans="1:11" ht="15" customHeight="1" x14ac:dyDescent="0.2">
      <c r="A282" s="30">
        <f>ROWS(B282:B$389)</f>
        <v>108</v>
      </c>
      <c r="B282" s="6" t="s">
        <v>82</v>
      </c>
      <c r="C282" s="1" t="s">
        <v>346</v>
      </c>
      <c r="D282" s="1" t="s">
        <v>359</v>
      </c>
      <c r="E282" s="1" t="s">
        <v>87</v>
      </c>
      <c r="F282" s="5">
        <v>42979</v>
      </c>
      <c r="G282" s="28">
        <v>6.25E-2</v>
      </c>
      <c r="H282" s="1">
        <v>8</v>
      </c>
      <c r="I282" s="1" t="s">
        <v>34</v>
      </c>
      <c r="J282" s="4" t="s">
        <v>36</v>
      </c>
      <c r="K282" s="1" t="s">
        <v>37</v>
      </c>
    </row>
    <row r="283" spans="1:11" ht="14.25" customHeight="1" x14ac:dyDescent="0.2">
      <c r="A283" s="30">
        <f>ROWS(B283:B$389)</f>
        <v>107</v>
      </c>
      <c r="B283" s="6" t="s">
        <v>81</v>
      </c>
      <c r="C283" s="1" t="s">
        <v>350</v>
      </c>
      <c r="D283" s="1" t="s">
        <v>350</v>
      </c>
      <c r="E283" s="1" t="s">
        <v>23</v>
      </c>
      <c r="F283" s="5">
        <v>42952</v>
      </c>
      <c r="G283" s="28">
        <v>6.7472222222222227</v>
      </c>
      <c r="H283" s="1">
        <v>10</v>
      </c>
      <c r="I283" s="1" t="s">
        <v>33</v>
      </c>
      <c r="J283" s="4" t="s">
        <v>36</v>
      </c>
      <c r="K283" s="1" t="s">
        <v>37</v>
      </c>
    </row>
    <row r="284" spans="1:11" ht="14.25" customHeight="1" x14ac:dyDescent="0.2">
      <c r="A284" s="30">
        <f>ROWS(B284:B$389)</f>
        <v>106</v>
      </c>
      <c r="B284" s="6" t="s">
        <v>80</v>
      </c>
      <c r="C284" s="1" t="s">
        <v>353</v>
      </c>
      <c r="D284" s="1" t="s">
        <v>353</v>
      </c>
      <c r="E284" s="1" t="s">
        <v>23</v>
      </c>
      <c r="F284" s="5">
        <v>42951</v>
      </c>
      <c r="G284" s="28">
        <v>2.5</v>
      </c>
      <c r="H284" s="1">
        <v>8</v>
      </c>
      <c r="I284" s="1" t="s">
        <v>32</v>
      </c>
      <c r="J284" s="4" t="s">
        <v>36</v>
      </c>
      <c r="K284" s="1" t="s">
        <v>37</v>
      </c>
    </row>
    <row r="285" spans="1:11" x14ac:dyDescent="0.2">
      <c r="A285" s="30">
        <f>ROWS(B285:B$389)</f>
        <v>105</v>
      </c>
      <c r="B285" s="6" t="s">
        <v>79</v>
      </c>
      <c r="C285" s="1" t="s">
        <v>350</v>
      </c>
      <c r="D285" s="1" t="s">
        <v>350</v>
      </c>
      <c r="E285" s="1" t="s">
        <v>28</v>
      </c>
      <c r="F285" s="5">
        <v>42950</v>
      </c>
      <c r="G285" s="28">
        <v>0.125</v>
      </c>
      <c r="H285" s="1">
        <v>7</v>
      </c>
      <c r="I285" s="1" t="s">
        <v>33</v>
      </c>
      <c r="J285" s="4" t="s">
        <v>39</v>
      </c>
      <c r="K285" s="1" t="s">
        <v>38</v>
      </c>
    </row>
    <row r="286" spans="1:11" x14ac:dyDescent="0.2">
      <c r="A286" s="30">
        <f>ROWS(B286:B$389)</f>
        <v>104</v>
      </c>
      <c r="B286" s="6" t="s">
        <v>78</v>
      </c>
      <c r="C286" s="1" t="s">
        <v>350</v>
      </c>
      <c r="D286" s="1" t="s">
        <v>350</v>
      </c>
      <c r="E286" s="1" t="s">
        <v>23</v>
      </c>
      <c r="F286" s="5">
        <v>42949</v>
      </c>
      <c r="G286" s="28">
        <v>6.6180555555555562</v>
      </c>
      <c r="H286" s="1">
        <v>9</v>
      </c>
      <c r="I286" s="1" t="s">
        <v>33</v>
      </c>
      <c r="J286" s="4" t="s">
        <v>36</v>
      </c>
      <c r="K286" s="1" t="s">
        <v>37</v>
      </c>
    </row>
    <row r="287" spans="1:11" x14ac:dyDescent="0.2">
      <c r="A287" s="30">
        <f>ROWS(B287:B$389)</f>
        <v>103</v>
      </c>
      <c r="B287" s="6" t="s">
        <v>77</v>
      </c>
      <c r="C287" s="1" t="s">
        <v>347</v>
      </c>
      <c r="D287" s="1" t="s">
        <v>347</v>
      </c>
      <c r="E287" s="1" t="s">
        <v>21</v>
      </c>
      <c r="F287" s="5">
        <v>42948</v>
      </c>
      <c r="G287" s="28">
        <v>0.33333333333333331</v>
      </c>
      <c r="H287" s="1">
        <v>10</v>
      </c>
      <c r="I287" s="1" t="s">
        <v>32</v>
      </c>
      <c r="J287" s="4" t="s">
        <v>36</v>
      </c>
      <c r="K287" s="1" t="s">
        <v>37</v>
      </c>
    </row>
    <row r="288" spans="1:11" x14ac:dyDescent="0.2">
      <c r="A288" s="30">
        <f>ROWS(B288:B$389)</f>
        <v>102</v>
      </c>
      <c r="B288" s="6" t="s">
        <v>511</v>
      </c>
      <c r="C288" s="1" t="s">
        <v>346</v>
      </c>
      <c r="D288" s="1" t="s">
        <v>346</v>
      </c>
      <c r="E288" s="1" t="s">
        <v>65</v>
      </c>
      <c r="F288" s="5">
        <v>42921</v>
      </c>
      <c r="G288" s="28">
        <v>0.33333333333333331</v>
      </c>
      <c r="H288" s="1">
        <v>6</v>
      </c>
      <c r="I288" s="1" t="s">
        <v>32</v>
      </c>
      <c r="J288" s="4" t="s">
        <v>36</v>
      </c>
      <c r="K288" s="1" t="s">
        <v>38</v>
      </c>
    </row>
    <row r="289" spans="1:11" x14ac:dyDescent="0.2">
      <c r="A289" s="30">
        <f>ROWS(B289:B$389)</f>
        <v>101</v>
      </c>
      <c r="B289" s="6" t="s">
        <v>75</v>
      </c>
      <c r="C289" s="1" t="s">
        <v>343</v>
      </c>
      <c r="D289" s="1" t="s">
        <v>347</v>
      </c>
      <c r="E289" s="1" t="s">
        <v>24</v>
      </c>
      <c r="F289" s="5">
        <v>42920</v>
      </c>
      <c r="G289" s="28">
        <v>0.58819444444444446</v>
      </c>
      <c r="H289" s="1">
        <v>9</v>
      </c>
      <c r="I289" s="1" t="s">
        <v>32</v>
      </c>
      <c r="J289" s="4" t="s">
        <v>36</v>
      </c>
      <c r="K289" s="1" t="s">
        <v>38</v>
      </c>
    </row>
    <row r="290" spans="1:11" x14ac:dyDescent="0.2">
      <c r="A290" s="30">
        <f>ROWS(B290:B$389)</f>
        <v>100</v>
      </c>
      <c r="B290" s="6" t="s">
        <v>76</v>
      </c>
      <c r="C290" s="1" t="s">
        <v>343</v>
      </c>
      <c r="D290" s="1" t="s">
        <v>352</v>
      </c>
      <c r="E290" s="1" t="s">
        <v>24</v>
      </c>
      <c r="F290" s="5">
        <v>42919</v>
      </c>
      <c r="G290" s="28">
        <v>0.38125000000000003</v>
      </c>
      <c r="H290" s="1">
        <v>7</v>
      </c>
      <c r="I290" s="1" t="s">
        <v>34</v>
      </c>
      <c r="J290" s="4" t="s">
        <v>36</v>
      </c>
      <c r="K290" s="1" t="s">
        <v>37</v>
      </c>
    </row>
    <row r="291" spans="1:11" x14ac:dyDescent="0.2">
      <c r="A291" s="30">
        <f>ROWS(B291:B$389)</f>
        <v>99</v>
      </c>
      <c r="B291" s="6" t="s">
        <v>74</v>
      </c>
      <c r="C291" s="1" t="s">
        <v>343</v>
      </c>
      <c r="D291" s="1" t="s">
        <v>227</v>
      </c>
      <c r="E291" s="1" t="s">
        <v>24</v>
      </c>
      <c r="F291" s="5">
        <v>42918</v>
      </c>
      <c r="G291" s="28">
        <v>0.29791666666666666</v>
      </c>
      <c r="H291" s="1">
        <v>7</v>
      </c>
      <c r="I291" s="1" t="s">
        <v>34</v>
      </c>
      <c r="J291" s="4" t="s">
        <v>36</v>
      </c>
      <c r="K291" s="1" t="s">
        <v>37</v>
      </c>
    </row>
    <row r="292" spans="1:11" x14ac:dyDescent="0.2">
      <c r="A292" s="30">
        <f>ROWS(B292:B$389)</f>
        <v>98</v>
      </c>
      <c r="B292" s="6" t="s">
        <v>73</v>
      </c>
      <c r="C292" s="1" t="s">
        <v>343</v>
      </c>
      <c r="D292" s="1" t="s">
        <v>343</v>
      </c>
      <c r="E292" s="1" t="s">
        <v>23</v>
      </c>
      <c r="F292" s="5">
        <v>42917</v>
      </c>
      <c r="G292" s="28">
        <v>1.0715277777777776</v>
      </c>
      <c r="H292" s="1">
        <v>9</v>
      </c>
      <c r="I292" s="1" t="s">
        <v>32</v>
      </c>
      <c r="J292" s="4" t="s">
        <v>36</v>
      </c>
      <c r="K292" s="1" t="s">
        <v>38</v>
      </c>
    </row>
    <row r="293" spans="1:11" x14ac:dyDescent="0.2">
      <c r="A293" s="30">
        <f>ROWS(B293:B$389)</f>
        <v>97</v>
      </c>
      <c r="B293" s="6" t="s">
        <v>72</v>
      </c>
      <c r="C293" s="1" t="s">
        <v>345</v>
      </c>
      <c r="D293" s="1" t="s">
        <v>345</v>
      </c>
      <c r="E293" s="1" t="s">
        <v>23</v>
      </c>
      <c r="F293" s="5">
        <v>42887</v>
      </c>
      <c r="G293" s="28">
        <v>1.6666666666666667</v>
      </c>
      <c r="H293" s="1">
        <v>10</v>
      </c>
      <c r="I293" s="1" t="s">
        <v>33</v>
      </c>
      <c r="J293" s="4" t="s">
        <v>36</v>
      </c>
      <c r="K293" s="1" t="s">
        <v>38</v>
      </c>
    </row>
    <row r="294" spans="1:11" x14ac:dyDescent="0.2">
      <c r="A294" s="30">
        <f>ROWS(B294:B$389)</f>
        <v>96</v>
      </c>
      <c r="B294" s="6" t="s">
        <v>68</v>
      </c>
      <c r="C294" s="1" t="s">
        <v>343</v>
      </c>
      <c r="D294" s="1" t="s">
        <v>343</v>
      </c>
      <c r="E294" s="1" t="s">
        <v>23</v>
      </c>
      <c r="F294" s="5">
        <v>42830</v>
      </c>
      <c r="G294" s="28">
        <v>1.132638888888889</v>
      </c>
      <c r="H294" s="1">
        <v>2</v>
      </c>
      <c r="I294" s="1" t="s">
        <v>32</v>
      </c>
      <c r="J294" s="4" t="s">
        <v>36</v>
      </c>
      <c r="K294" s="1" t="s">
        <v>37</v>
      </c>
    </row>
    <row r="295" spans="1:11" x14ac:dyDescent="0.2">
      <c r="A295" s="30">
        <f>ROWS(B295:B$389)</f>
        <v>95</v>
      </c>
      <c r="B295" s="6" t="s">
        <v>67</v>
      </c>
      <c r="C295" s="1" t="s">
        <v>347</v>
      </c>
      <c r="D295" s="1" t="s">
        <v>347</v>
      </c>
      <c r="E295" s="1" t="s">
        <v>30</v>
      </c>
      <c r="F295" s="5">
        <v>42829</v>
      </c>
      <c r="G295" s="28">
        <v>4.1666666666666664E-2</v>
      </c>
      <c r="H295" s="1">
        <v>7</v>
      </c>
      <c r="I295" s="1" t="s">
        <v>32</v>
      </c>
      <c r="J295" s="4" t="s">
        <v>71</v>
      </c>
      <c r="K295" s="1" t="s">
        <v>37</v>
      </c>
    </row>
    <row r="296" spans="1:11" ht="14.25" customHeight="1" x14ac:dyDescent="0.2">
      <c r="A296" s="30">
        <f>ROWS(B296:B$389)</f>
        <v>94</v>
      </c>
      <c r="B296" s="6" t="s">
        <v>235</v>
      </c>
      <c r="C296" s="1" t="s">
        <v>346</v>
      </c>
      <c r="D296" s="1" t="s">
        <v>348</v>
      </c>
      <c r="E296" s="1" t="s">
        <v>22</v>
      </c>
      <c r="F296" s="5">
        <v>42828</v>
      </c>
      <c r="G296" s="28">
        <v>1.0416666666666667</v>
      </c>
      <c r="H296" s="1">
        <v>10</v>
      </c>
      <c r="I296" s="1" t="s">
        <v>32</v>
      </c>
      <c r="J296" s="4" t="s">
        <v>36</v>
      </c>
      <c r="K296" s="1" t="s">
        <v>38</v>
      </c>
    </row>
    <row r="297" spans="1:11" x14ac:dyDescent="0.2">
      <c r="A297" s="30">
        <f>ROWS(B297:B$389)</f>
        <v>93</v>
      </c>
      <c r="B297" s="6" t="s">
        <v>236</v>
      </c>
      <c r="C297" s="1" t="s">
        <v>346</v>
      </c>
      <c r="D297" s="1" t="s">
        <v>347</v>
      </c>
      <c r="E297" s="1" t="s">
        <v>22</v>
      </c>
      <c r="F297" s="5">
        <v>42827</v>
      </c>
      <c r="G297" s="28">
        <v>0.625</v>
      </c>
      <c r="H297" s="1">
        <v>9</v>
      </c>
      <c r="I297" s="1" t="s">
        <v>32</v>
      </c>
      <c r="J297" s="4" t="s">
        <v>36</v>
      </c>
      <c r="K297" s="1" t="s">
        <v>37</v>
      </c>
    </row>
    <row r="298" spans="1:11" x14ac:dyDescent="0.2">
      <c r="A298" s="30">
        <f>ROWS(B298:B$389)</f>
        <v>92</v>
      </c>
      <c r="B298" s="6" t="s">
        <v>286</v>
      </c>
      <c r="C298" s="1" t="s">
        <v>346</v>
      </c>
      <c r="D298" s="1" t="s">
        <v>346</v>
      </c>
      <c r="E298" s="1" t="s">
        <v>69</v>
      </c>
      <c r="F298" s="5">
        <v>42826</v>
      </c>
      <c r="G298" s="28">
        <v>0.33333333333333331</v>
      </c>
      <c r="H298" s="1">
        <v>8</v>
      </c>
      <c r="I298" s="1" t="s">
        <v>32</v>
      </c>
      <c r="J298" s="4" t="s">
        <v>70</v>
      </c>
      <c r="K298" s="1" t="s">
        <v>38</v>
      </c>
    </row>
    <row r="299" spans="1:11" ht="14.25" customHeight="1" x14ac:dyDescent="0.2">
      <c r="A299" s="30">
        <f>ROWS(B299:B$389)</f>
        <v>91</v>
      </c>
      <c r="B299" s="6" t="s">
        <v>234</v>
      </c>
      <c r="C299" s="1" t="s">
        <v>349</v>
      </c>
      <c r="D299" s="1" t="s">
        <v>349</v>
      </c>
      <c r="E299" s="1" t="s">
        <v>22</v>
      </c>
      <c r="F299" s="5">
        <v>42798</v>
      </c>
      <c r="G299" s="28">
        <v>5.208333333333333</v>
      </c>
      <c r="H299" s="1">
        <v>10</v>
      </c>
      <c r="I299" s="1" t="s">
        <v>32</v>
      </c>
      <c r="J299" s="4" t="s">
        <v>36</v>
      </c>
      <c r="K299" s="1" t="s">
        <v>38</v>
      </c>
    </row>
    <row r="300" spans="1:11" x14ac:dyDescent="0.2">
      <c r="A300" s="30">
        <f>ROWS(B300:B$389)</f>
        <v>90</v>
      </c>
      <c r="B300" s="6" t="s">
        <v>64</v>
      </c>
      <c r="C300" s="1" t="s">
        <v>346</v>
      </c>
      <c r="D300" s="1" t="s">
        <v>348</v>
      </c>
      <c r="E300" s="1" t="s">
        <v>23</v>
      </c>
      <c r="F300" s="5">
        <v>42797</v>
      </c>
      <c r="G300" s="28">
        <v>1.25</v>
      </c>
      <c r="H300" s="1">
        <v>10</v>
      </c>
      <c r="I300" s="1" t="s">
        <v>32</v>
      </c>
      <c r="J300" s="4" t="s">
        <v>36</v>
      </c>
      <c r="K300" s="1" t="s">
        <v>37</v>
      </c>
    </row>
    <row r="301" spans="1:11" x14ac:dyDescent="0.2">
      <c r="A301" s="30">
        <f>ROWS(B301:B$389)</f>
        <v>89</v>
      </c>
      <c r="B301" s="6" t="s">
        <v>63</v>
      </c>
      <c r="C301" s="1" t="s">
        <v>348</v>
      </c>
      <c r="D301" s="1" t="s">
        <v>348</v>
      </c>
      <c r="E301" s="1" t="s">
        <v>65</v>
      </c>
      <c r="F301" s="5">
        <v>42796</v>
      </c>
      <c r="G301" s="28">
        <v>0.33333333333333331</v>
      </c>
      <c r="H301" s="1">
        <v>9</v>
      </c>
      <c r="I301" s="1" t="s">
        <v>32</v>
      </c>
      <c r="J301" s="4" t="s">
        <v>36</v>
      </c>
      <c r="K301" s="1" t="s">
        <v>38</v>
      </c>
    </row>
    <row r="302" spans="1:11" x14ac:dyDescent="0.2">
      <c r="A302" s="30">
        <f>ROWS(B302:B$389)</f>
        <v>88</v>
      </c>
      <c r="B302" s="6" t="s">
        <v>62</v>
      </c>
      <c r="C302" s="1" t="s">
        <v>346</v>
      </c>
      <c r="D302" s="1" t="s">
        <v>348</v>
      </c>
      <c r="E302" s="1" t="s">
        <v>22</v>
      </c>
      <c r="F302" s="5">
        <v>42795</v>
      </c>
      <c r="G302" s="28">
        <v>0.83333333333333337</v>
      </c>
      <c r="H302" s="1">
        <v>10</v>
      </c>
      <c r="I302" s="1" t="s">
        <v>32</v>
      </c>
      <c r="J302" s="4" t="s">
        <v>36</v>
      </c>
      <c r="K302" s="1" t="s">
        <v>37</v>
      </c>
    </row>
    <row r="303" spans="1:11" x14ac:dyDescent="0.2">
      <c r="A303" s="30">
        <f>ROWS(B303:B$389)</f>
        <v>87</v>
      </c>
      <c r="B303" s="6" t="s">
        <v>61</v>
      </c>
      <c r="C303" s="1" t="s">
        <v>343</v>
      </c>
      <c r="D303" s="1" t="s">
        <v>343</v>
      </c>
      <c r="E303" s="1" t="s">
        <v>21</v>
      </c>
      <c r="F303" s="5">
        <v>42770</v>
      </c>
      <c r="G303" s="28">
        <v>0.83333333333333337</v>
      </c>
      <c r="H303" s="1">
        <v>8</v>
      </c>
      <c r="I303" s="1" t="s">
        <v>32</v>
      </c>
      <c r="J303" s="4" t="s">
        <v>36</v>
      </c>
      <c r="K303" s="1" t="s">
        <v>37</v>
      </c>
    </row>
    <row r="304" spans="1:11" x14ac:dyDescent="0.2">
      <c r="A304" s="30">
        <f>ROWS(B304:B$389)</f>
        <v>86</v>
      </c>
      <c r="B304" s="6" t="s">
        <v>60</v>
      </c>
      <c r="C304" s="1" t="s">
        <v>345</v>
      </c>
      <c r="D304" s="1" t="s">
        <v>345</v>
      </c>
      <c r="E304" s="1" t="s">
        <v>21</v>
      </c>
      <c r="F304" s="5">
        <v>42769</v>
      </c>
      <c r="G304" s="28">
        <v>0.70833333333333337</v>
      </c>
      <c r="H304" s="1">
        <v>7</v>
      </c>
      <c r="I304" s="1" t="s">
        <v>32</v>
      </c>
      <c r="J304" s="4" t="s">
        <v>36</v>
      </c>
      <c r="K304" s="1" t="s">
        <v>37</v>
      </c>
    </row>
    <row r="305" spans="1:11" x14ac:dyDescent="0.2">
      <c r="A305" s="30">
        <f>ROWS(B305:B$389)</f>
        <v>85</v>
      </c>
      <c r="B305" s="6" t="s">
        <v>58</v>
      </c>
      <c r="C305" s="1" t="s">
        <v>349</v>
      </c>
      <c r="D305" s="1" t="s">
        <v>349</v>
      </c>
      <c r="E305" s="1" t="s">
        <v>21</v>
      </c>
      <c r="F305" s="5">
        <v>42768</v>
      </c>
      <c r="G305" s="28">
        <v>0.86041666666666661</v>
      </c>
      <c r="H305" s="1">
        <v>6</v>
      </c>
      <c r="I305" s="1" t="s">
        <v>32</v>
      </c>
      <c r="J305" s="4" t="s">
        <v>36</v>
      </c>
      <c r="K305" s="1" t="s">
        <v>37</v>
      </c>
    </row>
    <row r="306" spans="1:11" x14ac:dyDescent="0.2">
      <c r="A306" s="30">
        <f>ROWS(B306:B$389)</f>
        <v>84</v>
      </c>
      <c r="B306" s="6" t="s">
        <v>91</v>
      </c>
      <c r="C306" s="1" t="s">
        <v>349</v>
      </c>
      <c r="D306" s="1" t="s">
        <v>349</v>
      </c>
      <c r="E306" s="1" t="s">
        <v>27</v>
      </c>
      <c r="F306" s="5">
        <v>42767</v>
      </c>
      <c r="G306" s="28">
        <v>3.2118055555555554</v>
      </c>
      <c r="H306" s="1">
        <v>8</v>
      </c>
      <c r="I306" s="1" t="s">
        <v>32</v>
      </c>
      <c r="J306" s="4" t="s">
        <v>66</v>
      </c>
      <c r="K306" s="1" t="s">
        <v>38</v>
      </c>
    </row>
    <row r="307" spans="1:11" x14ac:dyDescent="0.2">
      <c r="A307" s="30">
        <f>ROWS(B307:B$389)</f>
        <v>83</v>
      </c>
      <c r="B307" s="6" t="s">
        <v>57</v>
      </c>
      <c r="C307" s="1" t="s">
        <v>346</v>
      </c>
      <c r="D307" s="1" t="s">
        <v>346</v>
      </c>
      <c r="E307" s="1" t="s">
        <v>23</v>
      </c>
      <c r="F307" s="5">
        <v>42740</v>
      </c>
      <c r="G307" s="28">
        <v>6.666666666666667</v>
      </c>
      <c r="H307" s="1">
        <v>11</v>
      </c>
      <c r="I307" s="1" t="s">
        <v>32</v>
      </c>
      <c r="J307" s="4" t="s">
        <v>36</v>
      </c>
      <c r="K307" s="1" t="s">
        <v>37</v>
      </c>
    </row>
    <row r="308" spans="1:11" x14ac:dyDescent="0.2">
      <c r="A308" s="30">
        <f>ROWS(B308:B$389)</f>
        <v>82</v>
      </c>
      <c r="B308" s="6" t="s">
        <v>56</v>
      </c>
      <c r="C308" s="1" t="s">
        <v>349</v>
      </c>
      <c r="D308" s="1" t="s">
        <v>349</v>
      </c>
      <c r="E308" s="1" t="s">
        <v>21</v>
      </c>
      <c r="F308" s="5">
        <v>42739</v>
      </c>
      <c r="G308" s="28">
        <v>2.5159722222222221</v>
      </c>
      <c r="H308" s="1">
        <v>11</v>
      </c>
      <c r="I308" s="1" t="s">
        <v>32</v>
      </c>
      <c r="J308" s="4" t="s">
        <v>36</v>
      </c>
      <c r="K308" s="1" t="s">
        <v>38</v>
      </c>
    </row>
    <row r="309" spans="1:11" ht="14.25" customHeight="1" x14ac:dyDescent="0.2">
      <c r="A309" s="30">
        <f>ROWS(B309:B$389)</f>
        <v>81</v>
      </c>
      <c r="B309" s="6" t="s">
        <v>244</v>
      </c>
      <c r="C309" s="1" t="s">
        <v>349</v>
      </c>
      <c r="D309" s="1" t="s">
        <v>349</v>
      </c>
      <c r="E309" s="1" t="s">
        <v>21</v>
      </c>
      <c r="F309" s="5">
        <v>42738</v>
      </c>
      <c r="G309" s="28">
        <v>0.66666666666666663</v>
      </c>
      <c r="H309" s="1">
        <v>9</v>
      </c>
      <c r="I309" s="1" t="s">
        <v>32</v>
      </c>
      <c r="J309" s="4" t="s">
        <v>36</v>
      </c>
      <c r="K309" s="1" t="s">
        <v>38</v>
      </c>
    </row>
    <row r="310" spans="1:11" x14ac:dyDescent="0.2">
      <c r="A310" s="30">
        <f>ROWS(B310:B$389)</f>
        <v>80</v>
      </c>
      <c r="B310" s="6" t="s">
        <v>55</v>
      </c>
      <c r="C310" s="1" t="s">
        <v>349</v>
      </c>
      <c r="D310" s="1" t="s">
        <v>349</v>
      </c>
      <c r="E310" s="1" t="s">
        <v>28</v>
      </c>
      <c r="F310" s="5">
        <v>42737</v>
      </c>
      <c r="G310" s="28">
        <v>1.721527777777778</v>
      </c>
      <c r="H310" s="1">
        <v>8</v>
      </c>
      <c r="I310" s="1" t="s">
        <v>33</v>
      </c>
      <c r="J310" s="4" t="s">
        <v>39</v>
      </c>
      <c r="K310" s="1" t="s">
        <v>38</v>
      </c>
    </row>
    <row r="311" spans="1:11" x14ac:dyDescent="0.2">
      <c r="A311" s="30">
        <f>ROWS(B311:B$389)</f>
        <v>79</v>
      </c>
      <c r="B311" s="6" t="s">
        <v>54</v>
      </c>
      <c r="C311" s="1" t="s">
        <v>349</v>
      </c>
      <c r="D311" s="1" t="s">
        <v>349</v>
      </c>
      <c r="E311" s="1" t="s">
        <v>27</v>
      </c>
      <c r="F311" s="5">
        <v>42736</v>
      </c>
      <c r="G311" s="28">
        <v>0.5</v>
      </c>
      <c r="H311" s="1">
        <v>9</v>
      </c>
      <c r="I311" s="1" t="s">
        <v>33</v>
      </c>
      <c r="J311" s="4" t="s">
        <v>36</v>
      </c>
      <c r="K311" s="1" t="s">
        <v>38</v>
      </c>
    </row>
    <row r="312" spans="1:11" x14ac:dyDescent="0.2">
      <c r="A312" s="30">
        <f>ROWS(B312:B$389)</f>
        <v>78</v>
      </c>
      <c r="B312" s="6" t="s">
        <v>19</v>
      </c>
      <c r="C312" s="1" t="s">
        <v>20</v>
      </c>
      <c r="D312" s="1" t="s">
        <v>20</v>
      </c>
      <c r="E312" s="1" t="s">
        <v>30</v>
      </c>
      <c r="F312" s="5">
        <v>42676</v>
      </c>
      <c r="G312" s="28">
        <v>0.83333333333333337</v>
      </c>
      <c r="H312" s="1">
        <v>5</v>
      </c>
      <c r="I312" s="1" t="s">
        <v>32</v>
      </c>
      <c r="J312" s="4" t="s">
        <v>36</v>
      </c>
      <c r="K312" s="1" t="s">
        <v>38</v>
      </c>
    </row>
    <row r="313" spans="1:11" x14ac:dyDescent="0.2">
      <c r="A313" s="30">
        <f>ROWS(B313:B$389)</f>
        <v>77</v>
      </c>
      <c r="B313" s="6" t="s">
        <v>18</v>
      </c>
      <c r="C313" s="1" t="s">
        <v>343</v>
      </c>
      <c r="D313" s="1" t="s">
        <v>343</v>
      </c>
      <c r="E313" s="1" t="s">
        <v>23</v>
      </c>
      <c r="F313" s="5">
        <v>42675</v>
      </c>
      <c r="G313" s="28">
        <v>5.833333333333333</v>
      </c>
      <c r="H313" s="1">
        <v>5</v>
      </c>
      <c r="I313" s="1" t="s">
        <v>33</v>
      </c>
      <c r="J313" s="4" t="s">
        <v>36</v>
      </c>
      <c r="K313" s="1" t="s">
        <v>37</v>
      </c>
    </row>
    <row r="314" spans="1:11" x14ac:dyDescent="0.2">
      <c r="A314" s="30">
        <f>ROWS(B314:B$389)</f>
        <v>76</v>
      </c>
      <c r="B314" s="6" t="s">
        <v>237</v>
      </c>
      <c r="C314" s="1" t="s">
        <v>343</v>
      </c>
      <c r="D314" s="1" t="s">
        <v>343</v>
      </c>
      <c r="E314" s="1" t="s">
        <v>22</v>
      </c>
      <c r="F314" s="5">
        <v>42646</v>
      </c>
      <c r="G314" s="28">
        <v>1</v>
      </c>
      <c r="H314" s="1">
        <v>8</v>
      </c>
      <c r="I314" s="1" t="s">
        <v>32</v>
      </c>
      <c r="J314" s="4" t="s">
        <v>36</v>
      </c>
      <c r="K314" s="1" t="s">
        <v>37</v>
      </c>
    </row>
    <row r="315" spans="1:11" x14ac:dyDescent="0.2">
      <c r="A315" s="30">
        <f>ROWS(B315:B$389)</f>
        <v>75</v>
      </c>
      <c r="B315" s="6" t="s">
        <v>392</v>
      </c>
      <c r="C315" s="1" t="s">
        <v>343</v>
      </c>
      <c r="D315" s="1" t="s">
        <v>343</v>
      </c>
      <c r="E315" s="1" t="s">
        <v>21</v>
      </c>
      <c r="F315" s="5">
        <v>42645</v>
      </c>
      <c r="G315" s="28">
        <v>0.3125</v>
      </c>
      <c r="H315" s="1">
        <v>7</v>
      </c>
      <c r="I315" s="1" t="s">
        <v>33</v>
      </c>
      <c r="J315" s="4" t="s">
        <v>36</v>
      </c>
      <c r="K315" s="1" t="s">
        <v>38</v>
      </c>
    </row>
    <row r="316" spans="1:11" x14ac:dyDescent="0.2">
      <c r="A316" s="30">
        <f>ROWS(B316:B$389)</f>
        <v>74</v>
      </c>
      <c r="B316" s="6" t="s">
        <v>448</v>
      </c>
      <c r="C316" s="1" t="s">
        <v>20</v>
      </c>
      <c r="D316" s="1" t="s">
        <v>20</v>
      </c>
      <c r="E316" s="1" t="s">
        <v>29</v>
      </c>
      <c r="F316" s="5">
        <v>42644</v>
      </c>
      <c r="G316" s="28">
        <v>2.3333333333333335</v>
      </c>
      <c r="H316" s="1">
        <v>6</v>
      </c>
      <c r="I316" s="1" t="s">
        <v>33</v>
      </c>
      <c r="J316" s="4" t="s">
        <v>101</v>
      </c>
      <c r="K316" s="1" t="s">
        <v>37</v>
      </c>
    </row>
    <row r="317" spans="1:11" x14ac:dyDescent="0.2">
      <c r="A317" s="30">
        <f>ROWS(B317:B$389)</f>
        <v>73</v>
      </c>
      <c r="B317" s="6" t="s">
        <v>263</v>
      </c>
      <c r="C317" s="1" t="s">
        <v>343</v>
      </c>
      <c r="D317" s="1" t="s">
        <v>343</v>
      </c>
      <c r="E317" s="1" t="s">
        <v>23</v>
      </c>
      <c r="F317" s="5">
        <v>42617</v>
      </c>
      <c r="G317" s="28">
        <v>2.375</v>
      </c>
      <c r="H317" s="1">
        <v>7</v>
      </c>
      <c r="I317" s="1" t="s">
        <v>32</v>
      </c>
      <c r="J317" s="4" t="s">
        <v>36</v>
      </c>
      <c r="K317" s="1" t="s">
        <v>37</v>
      </c>
    </row>
    <row r="318" spans="1:11" x14ac:dyDescent="0.2">
      <c r="A318" s="30">
        <f>ROWS(B318:B$389)</f>
        <v>72</v>
      </c>
      <c r="B318" s="6" t="s">
        <v>17</v>
      </c>
      <c r="C318" s="1" t="s">
        <v>343</v>
      </c>
      <c r="D318" s="1" t="s">
        <v>343</v>
      </c>
      <c r="E318" s="1" t="s">
        <v>29</v>
      </c>
      <c r="F318" s="5">
        <v>42616</v>
      </c>
      <c r="G318" s="28">
        <v>0.25</v>
      </c>
      <c r="H318" s="1">
        <v>7</v>
      </c>
      <c r="I318" s="1" t="s">
        <v>33</v>
      </c>
      <c r="J318" s="4" t="s">
        <v>35</v>
      </c>
      <c r="K318" s="1" t="s">
        <v>38</v>
      </c>
    </row>
    <row r="319" spans="1:11" x14ac:dyDescent="0.2">
      <c r="A319" s="30">
        <f>ROWS(B319:B$389)</f>
        <v>71</v>
      </c>
      <c r="B319" s="6" t="s">
        <v>16</v>
      </c>
      <c r="C319" s="1" t="s">
        <v>343</v>
      </c>
      <c r="D319" s="1" t="s">
        <v>343</v>
      </c>
      <c r="E319" s="1" t="s">
        <v>28</v>
      </c>
      <c r="F319" s="5">
        <v>42615</v>
      </c>
      <c r="G319" s="28">
        <v>2.0833333333333335</v>
      </c>
      <c r="H319" s="1">
        <v>8</v>
      </c>
      <c r="I319" s="1" t="s">
        <v>33</v>
      </c>
      <c r="J319" s="4" t="s">
        <v>39</v>
      </c>
      <c r="K319" s="1" t="s">
        <v>38</v>
      </c>
    </row>
    <row r="320" spans="1:11" x14ac:dyDescent="0.2">
      <c r="A320" s="30">
        <f>ROWS(B320:B$389)</f>
        <v>70</v>
      </c>
      <c r="B320" s="6" t="s">
        <v>15</v>
      </c>
      <c r="C320" s="1" t="s">
        <v>343</v>
      </c>
      <c r="D320" s="1" t="s">
        <v>343</v>
      </c>
      <c r="E320" s="1" t="s">
        <v>27</v>
      </c>
      <c r="F320" s="5">
        <v>42614</v>
      </c>
      <c r="G320" s="28">
        <v>0.83333333333333337</v>
      </c>
      <c r="H320" s="1">
        <v>8</v>
      </c>
      <c r="I320" s="1" t="s">
        <v>33</v>
      </c>
      <c r="J320" s="4" t="s">
        <v>36</v>
      </c>
      <c r="K320" s="1" t="s">
        <v>37</v>
      </c>
    </row>
    <row r="321" spans="1:11" ht="14.25" customHeight="1" x14ac:dyDescent="0.2">
      <c r="A321" s="30">
        <f>ROWS(B321:B$389)</f>
        <v>69</v>
      </c>
      <c r="B321" s="6" t="s">
        <v>14</v>
      </c>
      <c r="C321" s="1" t="s">
        <v>343</v>
      </c>
      <c r="D321" s="1" t="s">
        <v>343</v>
      </c>
      <c r="E321" s="1" t="s">
        <v>23</v>
      </c>
      <c r="F321" s="5">
        <v>42583</v>
      </c>
      <c r="G321" s="28">
        <v>2.6666666666666665</v>
      </c>
      <c r="H321" s="1">
        <v>9</v>
      </c>
      <c r="I321" s="1" t="s">
        <v>33</v>
      </c>
      <c r="J321" s="4" t="s">
        <v>36</v>
      </c>
      <c r="K321" s="1" t="s">
        <v>38</v>
      </c>
    </row>
    <row r="322" spans="1:11" ht="14.25" customHeight="1" x14ac:dyDescent="0.2">
      <c r="A322" s="30">
        <f>ROWS(B322:B$389)</f>
        <v>68</v>
      </c>
      <c r="B322" s="6" t="s">
        <v>13</v>
      </c>
      <c r="C322" s="1" t="s">
        <v>343</v>
      </c>
      <c r="D322" s="1" t="s">
        <v>343</v>
      </c>
      <c r="E322" s="1" t="s">
        <v>23</v>
      </c>
      <c r="F322" s="5">
        <v>42552</v>
      </c>
      <c r="G322" s="28">
        <v>1.25</v>
      </c>
      <c r="H322" s="1">
        <v>8</v>
      </c>
      <c r="I322" s="1" t="s">
        <v>33</v>
      </c>
      <c r="J322" s="4" t="s">
        <v>36</v>
      </c>
      <c r="K322" s="1" t="s">
        <v>38</v>
      </c>
    </row>
    <row r="323" spans="1:11" ht="14.25" customHeight="1" x14ac:dyDescent="0.2">
      <c r="A323" s="30">
        <f>ROWS(B323:B$389)</f>
        <v>67</v>
      </c>
      <c r="B323" s="6" t="s">
        <v>31</v>
      </c>
      <c r="C323" s="1" t="s">
        <v>20</v>
      </c>
      <c r="D323" s="1" t="s">
        <v>20</v>
      </c>
      <c r="E323" s="1" t="s">
        <v>22</v>
      </c>
      <c r="F323" s="5">
        <v>42461</v>
      </c>
      <c r="G323" s="28">
        <v>1.6666666666666667</v>
      </c>
      <c r="H323" s="1">
        <v>8</v>
      </c>
      <c r="I323" s="1" t="s">
        <v>34</v>
      </c>
      <c r="J323" s="4" t="s">
        <v>36</v>
      </c>
      <c r="K323" s="1" t="s">
        <v>38</v>
      </c>
    </row>
    <row r="324" spans="1:11" x14ac:dyDescent="0.2">
      <c r="A324" s="30">
        <f>ROWS(B324:B$389)</f>
        <v>66</v>
      </c>
      <c r="B324" s="6" t="s">
        <v>12</v>
      </c>
      <c r="C324" s="1" t="s">
        <v>20</v>
      </c>
      <c r="D324" s="1" t="s">
        <v>20</v>
      </c>
      <c r="E324" s="1" t="s">
        <v>22</v>
      </c>
      <c r="F324" s="5">
        <v>42431</v>
      </c>
      <c r="G324" s="28">
        <v>0.83333333333333337</v>
      </c>
      <c r="H324" s="1">
        <v>8</v>
      </c>
      <c r="I324" s="1" t="s">
        <v>32</v>
      </c>
      <c r="J324" s="4" t="s">
        <v>36</v>
      </c>
      <c r="K324" s="1" t="s">
        <v>37</v>
      </c>
    </row>
    <row r="325" spans="1:11" x14ac:dyDescent="0.2">
      <c r="A325" s="30">
        <f>ROWS(B325:B$389)</f>
        <v>65</v>
      </c>
      <c r="B325" s="6" t="s">
        <v>489</v>
      </c>
      <c r="C325" s="1" t="s">
        <v>20</v>
      </c>
      <c r="D325" s="1" t="s">
        <v>20</v>
      </c>
      <c r="E325" s="1" t="s">
        <v>27</v>
      </c>
      <c r="F325" s="5">
        <v>42430</v>
      </c>
      <c r="G325" s="28">
        <v>1.0902777777777779</v>
      </c>
      <c r="H325" s="1">
        <v>7</v>
      </c>
      <c r="I325" s="1" t="s">
        <v>33</v>
      </c>
      <c r="J325" s="4" t="s">
        <v>36</v>
      </c>
      <c r="K325" s="1" t="s">
        <v>38</v>
      </c>
    </row>
    <row r="326" spans="1:11" x14ac:dyDescent="0.2">
      <c r="A326" s="30">
        <f>ROWS(B326:B$389)</f>
        <v>64</v>
      </c>
      <c r="B326" s="6" t="s">
        <v>10</v>
      </c>
      <c r="C326" s="1" t="s">
        <v>20</v>
      </c>
      <c r="D326" s="1" t="s">
        <v>20</v>
      </c>
      <c r="E326" s="1" t="s">
        <v>24</v>
      </c>
      <c r="F326" s="5">
        <v>42403</v>
      </c>
      <c r="G326" s="28">
        <v>0.50694444444444442</v>
      </c>
      <c r="H326" s="1">
        <v>6</v>
      </c>
      <c r="I326" s="1" t="s">
        <v>32</v>
      </c>
      <c r="J326" s="4" t="s">
        <v>36</v>
      </c>
      <c r="K326" s="1" t="s">
        <v>37</v>
      </c>
    </row>
    <row r="327" spans="1:11" ht="15" x14ac:dyDescent="0.25">
      <c r="A327" s="30">
        <f>ROWS(B327:B$389)</f>
        <v>63</v>
      </c>
      <c r="B327" s="6" t="s">
        <v>430</v>
      </c>
      <c r="C327" s="1" t="s">
        <v>20</v>
      </c>
      <c r="D327" s="1" t="s">
        <v>20</v>
      </c>
      <c r="E327" s="1" t="s">
        <v>22</v>
      </c>
      <c r="F327" s="5">
        <v>42402</v>
      </c>
      <c r="G327" s="28">
        <v>0.52083333333333337</v>
      </c>
      <c r="H327" s="1">
        <v>8</v>
      </c>
      <c r="I327" s="1" t="s">
        <v>32</v>
      </c>
      <c r="J327" s="4" t="s">
        <v>36</v>
      </c>
      <c r="K327" s="1" t="s">
        <v>38</v>
      </c>
    </row>
    <row r="328" spans="1:11" ht="15" x14ac:dyDescent="0.25">
      <c r="A328" s="30">
        <f>ROWS(B328:B$389)</f>
        <v>62</v>
      </c>
      <c r="B328" s="6" t="s">
        <v>497</v>
      </c>
      <c r="C328" s="1" t="s">
        <v>20</v>
      </c>
      <c r="D328" s="1" t="s">
        <v>20</v>
      </c>
      <c r="E328" s="1" t="s">
        <v>25</v>
      </c>
      <c r="F328" s="5">
        <v>42401</v>
      </c>
      <c r="G328" s="28">
        <v>1.2013888888888888</v>
      </c>
      <c r="H328" s="1">
        <v>10</v>
      </c>
      <c r="I328" s="1" t="s">
        <v>32</v>
      </c>
      <c r="J328" s="4" t="s">
        <v>36</v>
      </c>
      <c r="K328" s="1" t="s">
        <v>37</v>
      </c>
    </row>
    <row r="329" spans="1:11" x14ac:dyDescent="0.2">
      <c r="A329" s="30">
        <f>ROWS(B329:B$389)</f>
        <v>61</v>
      </c>
      <c r="B329" s="6" t="s">
        <v>8</v>
      </c>
      <c r="C329" s="1" t="s">
        <v>360</v>
      </c>
      <c r="D329" s="1" t="s">
        <v>360</v>
      </c>
      <c r="E329" s="1" t="s">
        <v>23</v>
      </c>
      <c r="F329" s="5">
        <v>42372</v>
      </c>
      <c r="G329" s="28">
        <v>2.1666666666666665</v>
      </c>
      <c r="H329" s="1">
        <v>9</v>
      </c>
      <c r="I329" s="1" t="s">
        <v>32</v>
      </c>
      <c r="J329" s="4" t="s">
        <v>36</v>
      </c>
      <c r="K329" s="1" t="s">
        <v>37</v>
      </c>
    </row>
    <row r="330" spans="1:11" x14ac:dyDescent="0.2">
      <c r="A330" s="30">
        <f>ROWS(B330:B$389)</f>
        <v>60</v>
      </c>
      <c r="B330" s="6" t="s">
        <v>7</v>
      </c>
      <c r="C330" s="1" t="s">
        <v>360</v>
      </c>
      <c r="D330" s="1" t="s">
        <v>360</v>
      </c>
      <c r="E330" s="1" t="s">
        <v>23</v>
      </c>
      <c r="F330" s="5">
        <v>42371</v>
      </c>
      <c r="G330" s="28">
        <v>1.1041666666666667</v>
      </c>
      <c r="H330" s="1">
        <v>9</v>
      </c>
      <c r="I330" s="1" t="s">
        <v>32</v>
      </c>
      <c r="J330" s="4" t="s">
        <v>36</v>
      </c>
      <c r="K330" s="1" t="s">
        <v>37</v>
      </c>
    </row>
    <row r="331" spans="1:11" x14ac:dyDescent="0.2">
      <c r="A331" s="30">
        <f>ROWS(B331:B$389)</f>
        <v>59</v>
      </c>
      <c r="B331" s="6" t="s">
        <v>6</v>
      </c>
      <c r="C331" s="1" t="s">
        <v>360</v>
      </c>
      <c r="D331" s="1" t="s">
        <v>360</v>
      </c>
      <c r="E331" s="1" t="s">
        <v>24</v>
      </c>
      <c r="F331" s="5">
        <v>42370</v>
      </c>
      <c r="G331" s="28">
        <v>0.41666666666666669</v>
      </c>
      <c r="H331" s="1">
        <v>11</v>
      </c>
      <c r="I331" s="1" t="s">
        <v>32</v>
      </c>
      <c r="J331" s="4" t="s">
        <v>36</v>
      </c>
      <c r="K331" s="1" t="s">
        <v>37</v>
      </c>
    </row>
    <row r="332" spans="1:11" x14ac:dyDescent="0.2">
      <c r="A332" s="30">
        <f>ROWS(B332:B$389)</f>
        <v>58</v>
      </c>
      <c r="B332" s="6" t="s">
        <v>439</v>
      </c>
      <c r="C332" s="1" t="s">
        <v>344</v>
      </c>
      <c r="D332" s="1" t="s">
        <v>344</v>
      </c>
      <c r="E332" s="1" t="s">
        <v>27</v>
      </c>
      <c r="F332" s="5">
        <v>42359</v>
      </c>
      <c r="G332" s="28">
        <v>0.46250000000000002</v>
      </c>
      <c r="H332" s="1">
        <v>8</v>
      </c>
      <c r="I332" s="1" t="s">
        <v>32</v>
      </c>
      <c r="J332" s="4" t="s">
        <v>36</v>
      </c>
      <c r="K332" s="1" t="s">
        <v>37</v>
      </c>
    </row>
    <row r="333" spans="1:11" x14ac:dyDescent="0.2">
      <c r="A333" s="30">
        <f>ROWS(B333:B$389)</f>
        <v>57</v>
      </c>
      <c r="B333" s="6" t="s">
        <v>440</v>
      </c>
      <c r="C333" s="1" t="s">
        <v>344</v>
      </c>
      <c r="D333" s="1" t="s">
        <v>344</v>
      </c>
      <c r="E333" s="1" t="s">
        <v>65</v>
      </c>
      <c r="F333" s="5">
        <v>42340</v>
      </c>
      <c r="G333" s="28">
        <v>0.38333333333333336</v>
      </c>
      <c r="H333" s="1">
        <v>6</v>
      </c>
      <c r="I333" s="1" t="s">
        <v>34</v>
      </c>
      <c r="J333" s="4" t="s">
        <v>36</v>
      </c>
      <c r="K333" s="1" t="s">
        <v>37</v>
      </c>
    </row>
    <row r="334" spans="1:11" x14ac:dyDescent="0.2">
      <c r="A334" s="30">
        <f>ROWS(B334:B$389)</f>
        <v>56</v>
      </c>
      <c r="B334" s="6" t="s">
        <v>446</v>
      </c>
      <c r="C334" s="1" t="s">
        <v>344</v>
      </c>
      <c r="D334" s="1" t="s">
        <v>344</v>
      </c>
      <c r="E334" s="1" t="s">
        <v>29</v>
      </c>
      <c r="F334" s="5">
        <v>42210</v>
      </c>
      <c r="G334" s="28">
        <v>2.0597222222222222</v>
      </c>
      <c r="H334" s="1">
        <v>7</v>
      </c>
      <c r="I334" s="1" t="s">
        <v>52</v>
      </c>
      <c r="J334" s="4" t="s">
        <v>437</v>
      </c>
      <c r="K334" s="1" t="s">
        <v>37</v>
      </c>
    </row>
    <row r="335" spans="1:11" x14ac:dyDescent="0.2">
      <c r="A335" s="30">
        <f>ROWS(B335:B$389)</f>
        <v>55</v>
      </c>
      <c r="B335" s="6" t="s">
        <v>428</v>
      </c>
      <c r="C335" s="1" t="s">
        <v>344</v>
      </c>
      <c r="D335" s="1" t="s">
        <v>344</v>
      </c>
      <c r="E335" s="1" t="s">
        <v>29</v>
      </c>
      <c r="F335" s="5">
        <v>42210</v>
      </c>
      <c r="G335" s="28">
        <v>2.6805555555555554</v>
      </c>
      <c r="H335" s="1">
        <v>7</v>
      </c>
      <c r="I335" s="1" t="s">
        <v>32</v>
      </c>
      <c r="J335" s="4" t="s">
        <v>429</v>
      </c>
      <c r="K335" s="1" t="s">
        <v>37</v>
      </c>
    </row>
    <row r="336" spans="1:11" x14ac:dyDescent="0.2">
      <c r="A336" s="30">
        <f>ROWS(B336:B$389)</f>
        <v>54</v>
      </c>
      <c r="B336" s="6" t="s">
        <v>505</v>
      </c>
      <c r="C336" s="1" t="s">
        <v>355</v>
      </c>
      <c r="D336" s="1" t="s">
        <v>355</v>
      </c>
      <c r="E336" s="1" t="s">
        <v>23</v>
      </c>
      <c r="F336" s="5">
        <v>42123</v>
      </c>
      <c r="G336" s="28">
        <v>1.25</v>
      </c>
      <c r="H336" s="1">
        <v>7</v>
      </c>
      <c r="I336" s="1" t="s">
        <v>32</v>
      </c>
      <c r="J336" s="4" t="s">
        <v>36</v>
      </c>
      <c r="K336" s="1" t="s">
        <v>37</v>
      </c>
    </row>
    <row r="337" spans="1:11" x14ac:dyDescent="0.2">
      <c r="A337" s="30">
        <f>ROWS(B337:B$389)</f>
        <v>53</v>
      </c>
      <c r="B337" s="6" t="s">
        <v>442</v>
      </c>
      <c r="C337" s="1" t="s">
        <v>356</v>
      </c>
      <c r="D337" s="1" t="s">
        <v>356</v>
      </c>
      <c r="E337" s="1" t="s">
        <v>65</v>
      </c>
      <c r="F337" s="5">
        <v>42123</v>
      </c>
      <c r="G337" s="28">
        <v>0.45833333333333331</v>
      </c>
      <c r="H337" s="1">
        <v>7</v>
      </c>
      <c r="I337" s="1" t="s">
        <v>34</v>
      </c>
      <c r="J337" s="4" t="s">
        <v>437</v>
      </c>
      <c r="K337" s="1" t="s">
        <v>37</v>
      </c>
    </row>
    <row r="338" spans="1:11" x14ac:dyDescent="0.2">
      <c r="A338" s="30">
        <f>ROWS(B338:B$389)</f>
        <v>52</v>
      </c>
      <c r="B338" s="6" t="s">
        <v>504</v>
      </c>
      <c r="C338" s="1" t="s">
        <v>356</v>
      </c>
      <c r="D338" s="1" t="s">
        <v>356</v>
      </c>
      <c r="E338" s="1" t="s">
        <v>21</v>
      </c>
      <c r="F338" s="5">
        <v>42121</v>
      </c>
      <c r="G338" s="28">
        <v>4.1666666666666664E-2</v>
      </c>
      <c r="H338" s="1">
        <v>5</v>
      </c>
      <c r="I338" s="1" t="s">
        <v>32</v>
      </c>
      <c r="J338" s="4" t="s">
        <v>36</v>
      </c>
      <c r="K338" s="1" t="s">
        <v>37</v>
      </c>
    </row>
    <row r="339" spans="1:11" x14ac:dyDescent="0.2">
      <c r="A339" s="30">
        <f>ROWS(B339:B$389)</f>
        <v>51</v>
      </c>
      <c r="B339" s="6" t="s">
        <v>472</v>
      </c>
      <c r="C339" s="1" t="s">
        <v>356</v>
      </c>
      <c r="D339" s="1" t="s">
        <v>356</v>
      </c>
      <c r="E339" s="1" t="s">
        <v>157</v>
      </c>
      <c r="F339" s="5">
        <v>42121</v>
      </c>
      <c r="G339" s="28">
        <v>0.91666666666666663</v>
      </c>
      <c r="H339" s="1">
        <v>7</v>
      </c>
      <c r="I339" s="1" t="s">
        <v>34</v>
      </c>
      <c r="J339" s="4" t="s">
        <v>471</v>
      </c>
      <c r="K339" s="1" t="s">
        <v>37</v>
      </c>
    </row>
    <row r="340" spans="1:11" x14ac:dyDescent="0.2">
      <c r="A340" s="30">
        <f>ROWS(B340:B$389)</f>
        <v>50</v>
      </c>
      <c r="B340" s="6" t="s">
        <v>455</v>
      </c>
      <c r="C340" s="1" t="s">
        <v>356</v>
      </c>
      <c r="D340" s="1" t="s">
        <v>356</v>
      </c>
      <c r="E340" s="1" t="s">
        <v>27</v>
      </c>
      <c r="F340" s="5">
        <v>42120</v>
      </c>
      <c r="G340" s="28">
        <v>0.45833333333333331</v>
      </c>
      <c r="H340" s="1">
        <v>5</v>
      </c>
      <c r="I340" s="1" t="s">
        <v>32</v>
      </c>
      <c r="J340" s="4" t="s">
        <v>36</v>
      </c>
      <c r="K340" s="1" t="s">
        <v>37</v>
      </c>
    </row>
    <row r="341" spans="1:11" ht="15" x14ac:dyDescent="0.25">
      <c r="A341" s="30">
        <f>ROWS(B341:B$389)</f>
        <v>49</v>
      </c>
      <c r="B341" s="6" t="s">
        <v>461</v>
      </c>
      <c r="C341" s="1" t="s">
        <v>356</v>
      </c>
      <c r="D341" s="1" t="s">
        <v>356</v>
      </c>
      <c r="E341" s="1" t="s">
        <v>27</v>
      </c>
      <c r="F341" s="5">
        <v>42119</v>
      </c>
      <c r="G341" s="28">
        <v>0.58333333333333337</v>
      </c>
      <c r="H341" s="1">
        <v>5</v>
      </c>
      <c r="I341" s="1" t="s">
        <v>32</v>
      </c>
      <c r="J341" s="4" t="s">
        <v>36</v>
      </c>
      <c r="K341" s="1" t="s">
        <v>37</v>
      </c>
    </row>
    <row r="342" spans="1:11" x14ac:dyDescent="0.2">
      <c r="A342" s="30">
        <f>ROWS(B342:B$389)</f>
        <v>48</v>
      </c>
      <c r="B342" s="6" t="s">
        <v>468</v>
      </c>
      <c r="C342" s="1" t="s">
        <v>356</v>
      </c>
      <c r="D342" s="1" t="s">
        <v>356</v>
      </c>
      <c r="E342" s="1" t="s">
        <v>27</v>
      </c>
      <c r="F342" s="5">
        <v>42119</v>
      </c>
      <c r="G342" s="28">
        <v>0.33333333333333331</v>
      </c>
      <c r="H342" s="1">
        <v>4</v>
      </c>
      <c r="I342" s="1" t="s">
        <v>32</v>
      </c>
      <c r="J342" s="4" t="s">
        <v>36</v>
      </c>
      <c r="K342" s="1" t="s">
        <v>37</v>
      </c>
    </row>
    <row r="343" spans="1:11" x14ac:dyDescent="0.2">
      <c r="A343" s="30">
        <f>ROWS(B343:B$389)</f>
        <v>47</v>
      </c>
      <c r="B343" s="6" t="s">
        <v>470</v>
      </c>
      <c r="C343" s="1" t="s">
        <v>356</v>
      </c>
      <c r="D343" s="1" t="s">
        <v>356</v>
      </c>
      <c r="E343" s="1" t="s">
        <v>27</v>
      </c>
      <c r="F343" s="5">
        <v>42118</v>
      </c>
      <c r="G343" s="28">
        <v>0.5</v>
      </c>
      <c r="H343" s="1">
        <v>3</v>
      </c>
      <c r="I343" s="1" t="s">
        <v>32</v>
      </c>
      <c r="J343" s="4" t="s">
        <v>36</v>
      </c>
      <c r="K343" s="1" t="s">
        <v>37</v>
      </c>
    </row>
    <row r="344" spans="1:11" x14ac:dyDescent="0.2">
      <c r="A344" s="30">
        <f>ROWS(B344:B$389)</f>
        <v>46</v>
      </c>
      <c r="B344" s="6" t="s">
        <v>441</v>
      </c>
      <c r="C344" s="1" t="s">
        <v>356</v>
      </c>
      <c r="D344" s="1" t="s">
        <v>356</v>
      </c>
      <c r="E344" s="1" t="s">
        <v>27</v>
      </c>
      <c r="F344" s="5">
        <v>42116</v>
      </c>
      <c r="G344" s="28">
        <v>0.52083333333333337</v>
      </c>
      <c r="H344" s="1">
        <v>5</v>
      </c>
      <c r="I344" s="1" t="s">
        <v>32</v>
      </c>
      <c r="J344" s="4" t="s">
        <v>36</v>
      </c>
      <c r="K344" s="1" t="s">
        <v>37</v>
      </c>
    </row>
    <row r="345" spans="1:11" x14ac:dyDescent="0.2">
      <c r="A345" s="30">
        <f>ROWS(B345:B$389)</f>
        <v>45</v>
      </c>
      <c r="B345" s="6" t="s">
        <v>454</v>
      </c>
      <c r="C345" s="1" t="s">
        <v>356</v>
      </c>
      <c r="D345" s="1" t="s">
        <v>356</v>
      </c>
      <c r="E345" s="1" t="s">
        <v>27</v>
      </c>
      <c r="F345" s="5">
        <v>42114</v>
      </c>
      <c r="G345" s="28">
        <v>0.45833333333333331</v>
      </c>
      <c r="H345" s="1">
        <v>4</v>
      </c>
      <c r="I345" s="1" t="s">
        <v>32</v>
      </c>
      <c r="J345" s="4" t="s">
        <v>36</v>
      </c>
      <c r="K345" s="1" t="s">
        <v>37</v>
      </c>
    </row>
    <row r="346" spans="1:11" x14ac:dyDescent="0.2">
      <c r="A346" s="30">
        <f>ROWS(B346:B$389)</f>
        <v>44</v>
      </c>
      <c r="B346" s="6" t="s">
        <v>474</v>
      </c>
      <c r="C346" s="1" t="s">
        <v>356</v>
      </c>
      <c r="D346" s="1" t="s">
        <v>356</v>
      </c>
      <c r="E346" s="1" t="s">
        <v>21</v>
      </c>
      <c r="F346" s="5">
        <v>42114</v>
      </c>
      <c r="G346" s="28">
        <v>0.25</v>
      </c>
      <c r="H346" s="1">
        <v>5</v>
      </c>
      <c r="I346" s="1" t="s">
        <v>32</v>
      </c>
      <c r="J346" s="4" t="s">
        <v>36</v>
      </c>
      <c r="K346" s="1" t="s">
        <v>37</v>
      </c>
    </row>
    <row r="347" spans="1:11" x14ac:dyDescent="0.2">
      <c r="A347" s="30">
        <f>ROWS(B347:B$389)</f>
        <v>43</v>
      </c>
      <c r="B347" s="6" t="s">
        <v>460</v>
      </c>
      <c r="C347" s="1" t="s">
        <v>356</v>
      </c>
      <c r="D347" s="1" t="s">
        <v>356</v>
      </c>
      <c r="E347" s="1" t="s">
        <v>27</v>
      </c>
      <c r="F347" s="5">
        <v>42112</v>
      </c>
      <c r="G347" s="28">
        <v>0.72916666666666663</v>
      </c>
      <c r="H347" s="1">
        <v>5</v>
      </c>
      <c r="I347" s="1" t="s">
        <v>32</v>
      </c>
      <c r="J347" s="4" t="s">
        <v>36</v>
      </c>
      <c r="K347" s="1" t="s">
        <v>37</v>
      </c>
    </row>
    <row r="348" spans="1:11" ht="15" x14ac:dyDescent="0.25">
      <c r="A348" s="30">
        <f>ROWS(B348:B$389)</f>
        <v>42</v>
      </c>
      <c r="B348" s="6" t="s">
        <v>462</v>
      </c>
      <c r="C348" s="1" t="s">
        <v>356</v>
      </c>
      <c r="D348" s="1" t="s">
        <v>356</v>
      </c>
      <c r="E348" s="1" t="s">
        <v>27</v>
      </c>
      <c r="F348" s="5">
        <v>42112</v>
      </c>
      <c r="G348" s="28">
        <v>0.29166666666666669</v>
      </c>
      <c r="H348" s="1">
        <v>5</v>
      </c>
      <c r="I348" s="1" t="s">
        <v>32</v>
      </c>
      <c r="J348" s="4" t="s">
        <v>36</v>
      </c>
      <c r="K348" s="1" t="s">
        <v>37</v>
      </c>
    </row>
    <row r="349" spans="1:11" x14ac:dyDescent="0.2">
      <c r="A349" s="30">
        <f>ROWS(B349:B$389)</f>
        <v>41</v>
      </c>
      <c r="B349" s="6" t="s">
        <v>469</v>
      </c>
      <c r="C349" s="1" t="s">
        <v>355</v>
      </c>
      <c r="D349" s="1" t="s">
        <v>355</v>
      </c>
      <c r="E349" s="1" t="s">
        <v>65</v>
      </c>
      <c r="F349" s="5">
        <v>42108</v>
      </c>
      <c r="G349" s="28">
        <v>0.29166666666666669</v>
      </c>
      <c r="H349" s="1">
        <v>7</v>
      </c>
      <c r="I349" s="1" t="s">
        <v>32</v>
      </c>
      <c r="J349" s="4" t="s">
        <v>36</v>
      </c>
      <c r="K349" s="1" t="s">
        <v>37</v>
      </c>
    </row>
    <row r="350" spans="1:11" x14ac:dyDescent="0.2">
      <c r="A350" s="30">
        <f>ROWS(B350:B$389)</f>
        <v>40</v>
      </c>
      <c r="B350" s="6" t="s">
        <v>466</v>
      </c>
      <c r="C350" s="1" t="s">
        <v>356</v>
      </c>
      <c r="D350" s="1" t="s">
        <v>356</v>
      </c>
      <c r="E350" s="1" t="s">
        <v>22</v>
      </c>
      <c r="F350" s="5">
        <v>42108</v>
      </c>
      <c r="G350" s="28">
        <v>0.83333333333333337</v>
      </c>
      <c r="H350" s="1">
        <v>7</v>
      </c>
      <c r="I350" s="1" t="s">
        <v>32</v>
      </c>
      <c r="J350" s="4" t="s">
        <v>36</v>
      </c>
      <c r="K350" s="1" t="s">
        <v>37</v>
      </c>
    </row>
    <row r="351" spans="1:11" x14ac:dyDescent="0.2">
      <c r="A351" s="30">
        <f>ROWS(B351:B$389)</f>
        <v>39</v>
      </c>
      <c r="B351" s="6" t="s">
        <v>467</v>
      </c>
      <c r="C351" s="1" t="s">
        <v>356</v>
      </c>
      <c r="D351" s="1" t="s">
        <v>356</v>
      </c>
      <c r="E351" s="1" t="s">
        <v>27</v>
      </c>
      <c r="F351" s="5">
        <v>42105</v>
      </c>
      <c r="G351" s="28">
        <v>0.16666666666666666</v>
      </c>
      <c r="H351" s="1">
        <v>6</v>
      </c>
      <c r="I351" s="1" t="s">
        <v>32</v>
      </c>
      <c r="J351" s="4" t="s">
        <v>36</v>
      </c>
      <c r="K351" s="1" t="s">
        <v>37</v>
      </c>
    </row>
    <row r="352" spans="1:11" ht="15" x14ac:dyDescent="0.25">
      <c r="A352" s="30">
        <f>ROWS(B352:B$389)</f>
        <v>38</v>
      </c>
      <c r="B352" s="6" t="s">
        <v>477</v>
      </c>
      <c r="C352" s="1" t="s">
        <v>356</v>
      </c>
      <c r="D352" s="1" t="s">
        <v>356</v>
      </c>
      <c r="E352" s="1" t="s">
        <v>28</v>
      </c>
      <c r="F352" s="5">
        <v>42102</v>
      </c>
      <c r="G352" s="28">
        <v>0.20833333333333334</v>
      </c>
      <c r="H352" s="1">
        <v>5</v>
      </c>
      <c r="I352" s="1" t="s">
        <v>32</v>
      </c>
      <c r="J352" s="4" t="s">
        <v>39</v>
      </c>
      <c r="K352" s="1" t="s">
        <v>37</v>
      </c>
    </row>
    <row r="353" spans="1:11" x14ac:dyDescent="0.2">
      <c r="A353" s="30">
        <f>ROWS(B353:B$389)</f>
        <v>37</v>
      </c>
      <c r="B353" s="6" t="s">
        <v>445</v>
      </c>
      <c r="C353" s="1" t="s">
        <v>356</v>
      </c>
      <c r="D353" s="1" t="s">
        <v>356</v>
      </c>
      <c r="E353" s="1" t="s">
        <v>30</v>
      </c>
      <c r="F353" s="5">
        <v>42099</v>
      </c>
      <c r="G353" s="28">
        <v>0.83333333333333337</v>
      </c>
      <c r="H353" s="1">
        <v>9</v>
      </c>
      <c r="I353" s="1" t="s">
        <v>32</v>
      </c>
      <c r="J353" s="4" t="s">
        <v>36</v>
      </c>
      <c r="K353" s="1" t="s">
        <v>37</v>
      </c>
    </row>
    <row r="354" spans="1:11" ht="15" x14ac:dyDescent="0.25">
      <c r="A354" s="30">
        <f>ROWS(B354:B$389)</f>
        <v>36</v>
      </c>
      <c r="B354" s="6" t="s">
        <v>463</v>
      </c>
      <c r="C354" s="1" t="s">
        <v>356</v>
      </c>
      <c r="D354" s="1" t="s">
        <v>356</v>
      </c>
      <c r="E354" s="1" t="s">
        <v>27</v>
      </c>
      <c r="F354" s="5">
        <v>42099</v>
      </c>
      <c r="G354" s="28">
        <v>0.14583333333333334</v>
      </c>
      <c r="H354" s="1">
        <v>5</v>
      </c>
      <c r="I354" s="1" t="s">
        <v>32</v>
      </c>
      <c r="J354" s="4" t="s">
        <v>36</v>
      </c>
      <c r="K354" s="1" t="s">
        <v>37</v>
      </c>
    </row>
    <row r="355" spans="1:11" x14ac:dyDescent="0.2">
      <c r="A355" s="30">
        <f>ROWS(B355:B$389)</f>
        <v>35</v>
      </c>
      <c r="B355" s="6" t="s">
        <v>473</v>
      </c>
      <c r="C355" s="1" t="s">
        <v>356</v>
      </c>
      <c r="D355" s="1" t="s">
        <v>356</v>
      </c>
      <c r="E355" s="1" t="s">
        <v>65</v>
      </c>
      <c r="F355" s="5">
        <v>42099</v>
      </c>
      <c r="G355" s="28">
        <v>0.25</v>
      </c>
      <c r="H355" s="1">
        <v>6</v>
      </c>
      <c r="I355" s="1" t="s">
        <v>34</v>
      </c>
      <c r="J355" s="4" t="s">
        <v>36</v>
      </c>
      <c r="K355" s="1" t="s">
        <v>37</v>
      </c>
    </row>
    <row r="356" spans="1:11" x14ac:dyDescent="0.2">
      <c r="A356" s="30">
        <f>ROWS(B356:B$389)</f>
        <v>34</v>
      </c>
      <c r="B356" s="6" t="s">
        <v>452</v>
      </c>
      <c r="C356" s="1" t="s">
        <v>356</v>
      </c>
      <c r="D356" s="1" t="s">
        <v>356</v>
      </c>
      <c r="E356" s="1" t="s">
        <v>22</v>
      </c>
      <c r="F356" s="5">
        <v>42092</v>
      </c>
      <c r="G356" s="28">
        <v>0.83333333333333337</v>
      </c>
      <c r="H356" s="1">
        <v>9</v>
      </c>
      <c r="I356" s="1" t="s">
        <v>32</v>
      </c>
      <c r="J356" s="4" t="s">
        <v>36</v>
      </c>
      <c r="K356" s="1" t="s">
        <v>37</v>
      </c>
    </row>
    <row r="357" spans="1:11" ht="15" x14ac:dyDescent="0.25">
      <c r="A357" s="30">
        <f>ROWS(B357:B$389)</f>
        <v>33</v>
      </c>
      <c r="B357" s="6" t="s">
        <v>465</v>
      </c>
      <c r="C357" s="1" t="s">
        <v>356</v>
      </c>
      <c r="D357" s="1" t="s">
        <v>356</v>
      </c>
      <c r="E357" s="1" t="s">
        <v>30</v>
      </c>
      <c r="F357" s="5">
        <v>42091</v>
      </c>
      <c r="G357" s="28">
        <v>0.625</v>
      </c>
      <c r="H357" s="1">
        <v>7</v>
      </c>
      <c r="I357" s="1" t="s">
        <v>32</v>
      </c>
      <c r="J357" s="4" t="s">
        <v>437</v>
      </c>
      <c r="K357" s="1" t="s">
        <v>37</v>
      </c>
    </row>
    <row r="358" spans="1:11" x14ac:dyDescent="0.2">
      <c r="A358" s="30">
        <f>ROWS(B358:B$389)</f>
        <v>32</v>
      </c>
      <c r="B358" s="6" t="s">
        <v>451</v>
      </c>
      <c r="C358" s="1" t="s">
        <v>356</v>
      </c>
      <c r="D358" s="1" t="s">
        <v>356</v>
      </c>
      <c r="E358" s="1" t="s">
        <v>22</v>
      </c>
      <c r="F358" s="5">
        <v>42087</v>
      </c>
      <c r="G358" s="28">
        <v>0.41666666666666669</v>
      </c>
      <c r="H358" s="1">
        <v>7</v>
      </c>
      <c r="I358" s="1" t="s">
        <v>32</v>
      </c>
      <c r="J358" s="4" t="s">
        <v>36</v>
      </c>
      <c r="K358" s="1" t="s">
        <v>37</v>
      </c>
    </row>
    <row r="359" spans="1:11" x14ac:dyDescent="0.2">
      <c r="A359" s="30">
        <f>ROWS(B359:B$389)</f>
        <v>31</v>
      </c>
      <c r="B359" s="6" t="s">
        <v>450</v>
      </c>
      <c r="C359" s="1" t="s">
        <v>356</v>
      </c>
      <c r="D359" s="1" t="s">
        <v>356</v>
      </c>
      <c r="E359" s="1" t="s">
        <v>22</v>
      </c>
      <c r="F359" s="5">
        <v>42085</v>
      </c>
      <c r="G359" s="28">
        <v>0.41666666666666669</v>
      </c>
      <c r="H359" s="1">
        <v>7</v>
      </c>
      <c r="I359" s="1" t="s">
        <v>32</v>
      </c>
      <c r="J359" s="4" t="s">
        <v>36</v>
      </c>
      <c r="K359" s="1" t="s">
        <v>37</v>
      </c>
    </row>
    <row r="360" spans="1:11" x14ac:dyDescent="0.2">
      <c r="A360" s="30">
        <f>ROWS(B360:B$389)</f>
        <v>30</v>
      </c>
      <c r="B360" s="6" t="s">
        <v>449</v>
      </c>
      <c r="C360" s="1" t="s">
        <v>356</v>
      </c>
      <c r="D360" s="1" t="s">
        <v>356</v>
      </c>
      <c r="E360" s="1" t="s">
        <v>22</v>
      </c>
      <c r="F360" s="5">
        <v>42078</v>
      </c>
      <c r="G360" s="28">
        <v>0.625</v>
      </c>
      <c r="H360" s="1">
        <v>8</v>
      </c>
      <c r="I360" s="1" t="s">
        <v>32</v>
      </c>
      <c r="J360" s="4" t="s">
        <v>36</v>
      </c>
      <c r="K360" s="1" t="s">
        <v>37</v>
      </c>
    </row>
    <row r="361" spans="1:11" x14ac:dyDescent="0.2">
      <c r="A361" s="30">
        <f>ROWS(B361:B$389)</f>
        <v>29</v>
      </c>
      <c r="B361" s="6" t="s">
        <v>434</v>
      </c>
      <c r="C361" s="1" t="s">
        <v>344</v>
      </c>
      <c r="D361" s="1" t="s">
        <v>344</v>
      </c>
      <c r="E361" s="1" t="s">
        <v>22</v>
      </c>
      <c r="F361" s="5">
        <v>42077</v>
      </c>
      <c r="G361" s="28">
        <v>1.2840277777777778</v>
      </c>
      <c r="H361" s="1">
        <v>5</v>
      </c>
      <c r="I361" s="1" t="s">
        <v>32</v>
      </c>
      <c r="J361" s="4" t="s">
        <v>36</v>
      </c>
      <c r="K361" s="1" t="s">
        <v>37</v>
      </c>
    </row>
    <row r="362" spans="1:11" x14ac:dyDescent="0.2">
      <c r="A362" s="30">
        <f>ROWS(B362:B$389)</f>
        <v>28</v>
      </c>
      <c r="B362" s="6" t="s">
        <v>456</v>
      </c>
      <c r="C362" s="1" t="s">
        <v>355</v>
      </c>
      <c r="D362" s="1" t="s">
        <v>355</v>
      </c>
      <c r="E362" s="1" t="s">
        <v>28</v>
      </c>
      <c r="F362" s="5">
        <v>42068</v>
      </c>
      <c r="G362" s="28">
        <v>0.20833333333333334</v>
      </c>
      <c r="H362" s="1">
        <v>5</v>
      </c>
      <c r="I362" s="1" t="s">
        <v>32</v>
      </c>
      <c r="J362" s="4" t="s">
        <v>39</v>
      </c>
      <c r="K362" s="1" t="s">
        <v>37</v>
      </c>
    </row>
    <row r="363" spans="1:11" x14ac:dyDescent="0.2">
      <c r="A363" s="30">
        <f>ROWS(B363:B$389)</f>
        <v>27</v>
      </c>
      <c r="B363" s="6" t="s">
        <v>122</v>
      </c>
      <c r="C363" s="1" t="s">
        <v>356</v>
      </c>
      <c r="D363" s="1" t="s">
        <v>356</v>
      </c>
      <c r="E363" s="1" t="s">
        <v>22</v>
      </c>
      <c r="F363" s="5">
        <v>42066</v>
      </c>
      <c r="G363" s="28">
        <v>0.54166666666666663</v>
      </c>
      <c r="H363" s="1">
        <v>8</v>
      </c>
      <c r="I363" s="1" t="s">
        <v>32</v>
      </c>
      <c r="J363" s="4" t="s">
        <v>36</v>
      </c>
      <c r="K363" s="1" t="s">
        <v>37</v>
      </c>
    </row>
    <row r="364" spans="1:11" x14ac:dyDescent="0.2">
      <c r="A364" s="30">
        <f>ROWS(B364:B$389)</f>
        <v>26</v>
      </c>
      <c r="B364" s="6" t="s">
        <v>503</v>
      </c>
      <c r="C364" s="1" t="s">
        <v>356</v>
      </c>
      <c r="D364" s="1" t="s">
        <v>356</v>
      </c>
      <c r="E364" s="1" t="s">
        <v>21</v>
      </c>
      <c r="F364" s="5">
        <v>42064</v>
      </c>
      <c r="G364" s="28">
        <v>1</v>
      </c>
      <c r="H364" s="1">
        <v>6</v>
      </c>
      <c r="I364" s="1" t="s">
        <v>32</v>
      </c>
      <c r="J364" s="4" t="s">
        <v>36</v>
      </c>
      <c r="K364" s="1" t="s">
        <v>37</v>
      </c>
    </row>
    <row r="365" spans="1:11" x14ac:dyDescent="0.2">
      <c r="A365" s="30">
        <f>ROWS(B365:B$389)</f>
        <v>25</v>
      </c>
      <c r="B365" s="6" t="s">
        <v>464</v>
      </c>
      <c r="C365" s="1" t="s">
        <v>355</v>
      </c>
      <c r="D365" s="1" t="s">
        <v>355</v>
      </c>
      <c r="E365" s="1" t="s">
        <v>30</v>
      </c>
      <c r="F365" s="5">
        <v>42063</v>
      </c>
      <c r="G365" s="28">
        <v>0.625</v>
      </c>
      <c r="H365" s="1">
        <v>7</v>
      </c>
      <c r="I365" s="1" t="s">
        <v>32</v>
      </c>
      <c r="J365" s="4" t="s">
        <v>437</v>
      </c>
      <c r="K365" s="1" t="s">
        <v>37</v>
      </c>
    </row>
    <row r="366" spans="1:11" x14ac:dyDescent="0.2">
      <c r="A366" s="30">
        <f>ROWS(B366:B$389)</f>
        <v>24</v>
      </c>
      <c r="B366" s="6" t="s">
        <v>438</v>
      </c>
      <c r="C366" s="1" t="s">
        <v>344</v>
      </c>
      <c r="D366" s="1" t="s">
        <v>344</v>
      </c>
      <c r="E366" s="1" t="s">
        <v>27</v>
      </c>
      <c r="F366" s="5">
        <v>42056</v>
      </c>
      <c r="G366" s="28">
        <v>1.0847222222222221</v>
      </c>
      <c r="H366" s="1">
        <v>8</v>
      </c>
      <c r="I366" s="1" t="s">
        <v>32</v>
      </c>
      <c r="J366" s="4" t="s">
        <v>36</v>
      </c>
      <c r="K366" s="1" t="s">
        <v>37</v>
      </c>
    </row>
    <row r="367" spans="1:11" x14ac:dyDescent="0.2">
      <c r="A367" s="30">
        <f>ROWS(B367:B$389)</f>
        <v>23</v>
      </c>
      <c r="B367" s="6" t="s">
        <v>427</v>
      </c>
      <c r="C367" s="1" t="s">
        <v>344</v>
      </c>
      <c r="D367" s="1" t="s">
        <v>344</v>
      </c>
      <c r="E367" s="1" t="s">
        <v>27</v>
      </c>
      <c r="F367" s="5">
        <v>42052</v>
      </c>
      <c r="G367" s="28">
        <v>3.6479166666666667</v>
      </c>
      <c r="H367" s="1">
        <v>7</v>
      </c>
      <c r="I367" s="1" t="s">
        <v>32</v>
      </c>
      <c r="J367" s="4" t="s">
        <v>36</v>
      </c>
      <c r="K367" s="1" t="s">
        <v>37</v>
      </c>
    </row>
    <row r="368" spans="1:11" x14ac:dyDescent="0.2">
      <c r="A368" s="30">
        <f>ROWS(B368:B$389)</f>
        <v>22</v>
      </c>
      <c r="B368" s="6" t="s">
        <v>458</v>
      </c>
      <c r="C368" s="1" t="s">
        <v>355</v>
      </c>
      <c r="D368" s="1" t="s">
        <v>355</v>
      </c>
      <c r="E368" s="1" t="s">
        <v>27</v>
      </c>
      <c r="F368" s="5">
        <v>42045</v>
      </c>
      <c r="G368" s="28">
        <v>1</v>
      </c>
      <c r="H368" s="1">
        <v>6</v>
      </c>
      <c r="I368" s="1" t="s">
        <v>32</v>
      </c>
      <c r="J368" s="4" t="s">
        <v>36</v>
      </c>
      <c r="K368" s="1" t="s">
        <v>37</v>
      </c>
    </row>
    <row r="369" spans="1:11" x14ac:dyDescent="0.2">
      <c r="A369" s="30">
        <f>ROWS(B369:B$389)</f>
        <v>21</v>
      </c>
      <c r="B369" s="6" t="s">
        <v>457</v>
      </c>
      <c r="C369" s="1" t="s">
        <v>355</v>
      </c>
      <c r="D369" s="1" t="s">
        <v>355</v>
      </c>
      <c r="E369" s="1" t="s">
        <v>27</v>
      </c>
      <c r="F369" s="5">
        <v>42037</v>
      </c>
      <c r="G369" s="28">
        <v>1</v>
      </c>
      <c r="H369" s="1">
        <v>7</v>
      </c>
      <c r="I369" s="1" t="s">
        <v>32</v>
      </c>
      <c r="J369" s="4" t="s">
        <v>36</v>
      </c>
      <c r="K369" s="1" t="s">
        <v>37</v>
      </c>
    </row>
    <row r="370" spans="1:11" x14ac:dyDescent="0.2">
      <c r="A370" s="30">
        <f>ROWS(B370:B$389)</f>
        <v>20</v>
      </c>
      <c r="B370" s="6" t="s">
        <v>431</v>
      </c>
      <c r="C370" s="1" t="s">
        <v>344</v>
      </c>
      <c r="D370" s="1" t="s">
        <v>344</v>
      </c>
      <c r="E370" s="1" t="s">
        <v>65</v>
      </c>
      <c r="F370" s="5">
        <v>42031</v>
      </c>
      <c r="G370" s="28">
        <v>2.2583333333333333</v>
      </c>
      <c r="H370" s="1">
        <v>7</v>
      </c>
      <c r="I370" s="1" t="s">
        <v>32</v>
      </c>
      <c r="J370" s="4" t="s">
        <v>36</v>
      </c>
      <c r="K370" s="1" t="s">
        <v>38</v>
      </c>
    </row>
    <row r="371" spans="1:11" x14ac:dyDescent="0.2">
      <c r="A371" s="30">
        <f>ROWS(B371:B$389)</f>
        <v>19</v>
      </c>
      <c r="B371" s="6" t="s">
        <v>459</v>
      </c>
      <c r="C371" s="1" t="s">
        <v>355</v>
      </c>
      <c r="D371" s="1" t="s">
        <v>355</v>
      </c>
      <c r="E371" s="1" t="s">
        <v>27</v>
      </c>
      <c r="F371" s="5">
        <v>42024</v>
      </c>
      <c r="G371" s="28">
        <v>1.3958333333333333</v>
      </c>
      <c r="H371" s="1">
        <v>7</v>
      </c>
      <c r="I371" s="1" t="s">
        <v>32</v>
      </c>
      <c r="J371" s="4" t="s">
        <v>36</v>
      </c>
      <c r="K371" s="1" t="s">
        <v>37</v>
      </c>
    </row>
    <row r="372" spans="1:11" x14ac:dyDescent="0.2">
      <c r="A372" s="30">
        <f>ROWS(B372:B$389)</f>
        <v>18</v>
      </c>
      <c r="B372" s="6" t="s">
        <v>506</v>
      </c>
      <c r="C372" s="1" t="s">
        <v>356</v>
      </c>
      <c r="D372" s="1" t="s">
        <v>356</v>
      </c>
      <c r="E372" s="1" t="s">
        <v>30</v>
      </c>
      <c r="F372" s="5">
        <v>42021</v>
      </c>
      <c r="G372" s="28">
        <v>0.375</v>
      </c>
      <c r="H372" s="1">
        <v>7</v>
      </c>
      <c r="I372" s="1" t="s">
        <v>32</v>
      </c>
      <c r="J372" s="4" t="s">
        <v>71</v>
      </c>
      <c r="K372" s="1" t="s">
        <v>38</v>
      </c>
    </row>
    <row r="373" spans="1:11" x14ac:dyDescent="0.2">
      <c r="A373" s="30">
        <f>ROWS(B373:B$389)</f>
        <v>17</v>
      </c>
      <c r="B373" s="6" t="s">
        <v>436</v>
      </c>
      <c r="C373" s="1" t="s">
        <v>344</v>
      </c>
      <c r="D373" s="1" t="s">
        <v>344</v>
      </c>
      <c r="E373" s="1" t="s">
        <v>22</v>
      </c>
      <c r="F373" s="5">
        <v>42014</v>
      </c>
      <c r="G373" s="28">
        <v>1.0368055555555555</v>
      </c>
      <c r="H373" s="1">
        <v>7</v>
      </c>
      <c r="I373" s="1" t="s">
        <v>32</v>
      </c>
      <c r="J373" s="4" t="s">
        <v>36</v>
      </c>
      <c r="K373" s="1" t="s">
        <v>37</v>
      </c>
    </row>
    <row r="374" spans="1:11" x14ac:dyDescent="0.2">
      <c r="A374" s="30">
        <f>ROWS(B374:B$389)</f>
        <v>16</v>
      </c>
      <c r="B374" s="6" t="s">
        <v>502</v>
      </c>
      <c r="C374" s="1" t="s">
        <v>344</v>
      </c>
      <c r="D374" s="1" t="s">
        <v>344</v>
      </c>
      <c r="E374" s="1" t="s">
        <v>120</v>
      </c>
      <c r="F374" s="5">
        <v>42004</v>
      </c>
      <c r="G374" s="28">
        <v>1.3847222222222222</v>
      </c>
      <c r="H374" s="1">
        <v>6</v>
      </c>
      <c r="I374" s="1" t="s">
        <v>32</v>
      </c>
      <c r="J374" s="4" t="s">
        <v>36</v>
      </c>
      <c r="K374" s="1" t="s">
        <v>37</v>
      </c>
    </row>
    <row r="375" spans="1:11" x14ac:dyDescent="0.2">
      <c r="A375" s="30">
        <f>ROWS(B375:B$389)</f>
        <v>15</v>
      </c>
      <c r="B375" s="6" t="s">
        <v>426</v>
      </c>
      <c r="C375" s="1" t="s">
        <v>344</v>
      </c>
      <c r="D375" s="1" t="s">
        <v>344</v>
      </c>
      <c r="E375" s="1" t="s">
        <v>23</v>
      </c>
      <c r="F375" s="5">
        <v>42000</v>
      </c>
      <c r="G375" s="28">
        <v>12.845833333333333</v>
      </c>
      <c r="H375" s="1">
        <v>11</v>
      </c>
      <c r="I375" s="1" t="s">
        <v>32</v>
      </c>
      <c r="J375" s="4" t="s">
        <v>36</v>
      </c>
      <c r="K375" s="1" t="s">
        <v>37</v>
      </c>
    </row>
    <row r="376" spans="1:11" ht="15" x14ac:dyDescent="0.25">
      <c r="A376" s="30">
        <f>ROWS(B376:B$389)</f>
        <v>14</v>
      </c>
      <c r="B376" s="6" t="s">
        <v>324</v>
      </c>
      <c r="C376" s="1" t="s">
        <v>344</v>
      </c>
      <c r="D376" s="1" t="s">
        <v>344</v>
      </c>
      <c r="E376" s="1" t="s">
        <v>22</v>
      </c>
      <c r="F376" s="5">
        <v>41995</v>
      </c>
      <c r="G376" s="28">
        <v>2.2618055555555556</v>
      </c>
      <c r="H376" s="1">
        <v>8</v>
      </c>
      <c r="I376" s="1" t="s">
        <v>32</v>
      </c>
      <c r="J376" s="4" t="s">
        <v>36</v>
      </c>
      <c r="K376" s="1" t="s">
        <v>37</v>
      </c>
    </row>
    <row r="377" spans="1:11" x14ac:dyDescent="0.2">
      <c r="A377" s="30">
        <f>ROWS(B377:B$389)</f>
        <v>13</v>
      </c>
      <c r="B377" s="6" t="s">
        <v>433</v>
      </c>
      <c r="C377" s="1" t="s">
        <v>344</v>
      </c>
      <c r="D377" s="1" t="s">
        <v>344</v>
      </c>
      <c r="E377" s="1" t="s">
        <v>30</v>
      </c>
      <c r="F377" s="5">
        <v>41992</v>
      </c>
      <c r="G377" s="28">
        <v>1.617361111111111</v>
      </c>
      <c r="H377" s="1">
        <v>6</v>
      </c>
      <c r="I377" s="1" t="s">
        <v>32</v>
      </c>
      <c r="J377" s="4" t="s">
        <v>36</v>
      </c>
      <c r="K377" s="1" t="s">
        <v>38</v>
      </c>
    </row>
    <row r="378" spans="1:11" x14ac:dyDescent="0.2">
      <c r="A378" s="30">
        <f>ROWS(B378:B$389)</f>
        <v>12</v>
      </c>
      <c r="B378" s="6" t="s">
        <v>167</v>
      </c>
      <c r="C378" s="1" t="s">
        <v>356</v>
      </c>
      <c r="D378" s="1" t="s">
        <v>356</v>
      </c>
      <c r="E378" s="1" t="s">
        <v>22</v>
      </c>
      <c r="F378" s="5">
        <v>41903</v>
      </c>
      <c r="G378" s="28">
        <v>4.166666666666667</v>
      </c>
      <c r="H378" s="1">
        <v>10</v>
      </c>
      <c r="I378" s="1" t="s">
        <v>32</v>
      </c>
      <c r="J378" s="4" t="s">
        <v>36</v>
      </c>
      <c r="K378" s="1" t="s">
        <v>37</v>
      </c>
    </row>
    <row r="379" spans="1:11" x14ac:dyDescent="0.2">
      <c r="A379" s="30">
        <f>ROWS(B379:B$389)</f>
        <v>11</v>
      </c>
      <c r="B379" s="6" t="s">
        <v>444</v>
      </c>
      <c r="C379" s="1" t="s">
        <v>356</v>
      </c>
      <c r="D379" s="1" t="s">
        <v>356</v>
      </c>
      <c r="E379" s="1" t="s">
        <v>23</v>
      </c>
      <c r="F379" s="5">
        <v>41893</v>
      </c>
      <c r="G379" s="28">
        <v>0.83333333333333337</v>
      </c>
      <c r="H379" s="1">
        <v>9</v>
      </c>
      <c r="I379" s="1" t="s">
        <v>32</v>
      </c>
      <c r="J379" s="4" t="s">
        <v>36</v>
      </c>
      <c r="K379" s="1" t="s">
        <v>38</v>
      </c>
    </row>
    <row r="380" spans="1:11" x14ac:dyDescent="0.2">
      <c r="A380" s="30">
        <f>ROWS(B380:B$389)</f>
        <v>10</v>
      </c>
      <c r="B380" s="6" t="s">
        <v>26</v>
      </c>
      <c r="C380" s="1" t="s">
        <v>356</v>
      </c>
      <c r="D380" s="1" t="s">
        <v>356</v>
      </c>
      <c r="E380" s="1" t="s">
        <v>22</v>
      </c>
      <c r="F380" s="5">
        <v>41895</v>
      </c>
      <c r="G380" s="28">
        <v>0.625</v>
      </c>
      <c r="H380" s="1">
        <v>7</v>
      </c>
      <c r="I380" s="1" t="s">
        <v>32</v>
      </c>
      <c r="J380" s="4" t="s">
        <v>36</v>
      </c>
      <c r="K380" s="1" t="s">
        <v>37</v>
      </c>
    </row>
    <row r="381" spans="1:11" ht="15" x14ac:dyDescent="0.25">
      <c r="A381" s="30">
        <f>ROWS(B381:B$389)</f>
        <v>9</v>
      </c>
      <c r="B381" s="6" t="s">
        <v>476</v>
      </c>
      <c r="C381" s="1" t="s">
        <v>356</v>
      </c>
      <c r="D381" s="1" t="s">
        <v>356</v>
      </c>
      <c r="E381" s="1" t="s">
        <v>25</v>
      </c>
      <c r="F381" s="5">
        <v>41869</v>
      </c>
      <c r="G381" s="28">
        <v>1.4583333333333333</v>
      </c>
      <c r="H381" s="1">
        <v>10</v>
      </c>
      <c r="I381" s="1" t="s">
        <v>32</v>
      </c>
      <c r="J381" s="4" t="s">
        <v>36</v>
      </c>
      <c r="K381" s="1" t="s">
        <v>37</v>
      </c>
    </row>
    <row r="382" spans="1:11" x14ac:dyDescent="0.2">
      <c r="A382" s="30">
        <f>ROWS(B382:B$389)</f>
        <v>8</v>
      </c>
      <c r="B382" s="6" t="s">
        <v>498</v>
      </c>
      <c r="C382" s="1" t="s">
        <v>494</v>
      </c>
      <c r="D382" s="1" t="s">
        <v>494</v>
      </c>
      <c r="E382" s="1" t="s">
        <v>22</v>
      </c>
      <c r="F382" s="5">
        <v>41755</v>
      </c>
      <c r="G382" s="28">
        <v>4.166666666666667</v>
      </c>
      <c r="H382" s="1">
        <v>10</v>
      </c>
      <c r="I382" s="1" t="s">
        <v>32</v>
      </c>
      <c r="J382" s="4" t="s">
        <v>36</v>
      </c>
      <c r="K382" s="1" t="s">
        <v>37</v>
      </c>
    </row>
    <row r="383" spans="1:11" x14ac:dyDescent="0.2">
      <c r="A383" s="30">
        <f>ROWS(B383:B$389)</f>
        <v>7</v>
      </c>
      <c r="B383" s="6" t="s">
        <v>158</v>
      </c>
      <c r="C383" s="1" t="s">
        <v>494</v>
      </c>
      <c r="D383" s="1" t="s">
        <v>494</v>
      </c>
      <c r="E383" s="1" t="s">
        <v>65</v>
      </c>
      <c r="F383" s="5">
        <v>41747</v>
      </c>
      <c r="G383" s="28">
        <v>0.625</v>
      </c>
      <c r="H383" s="1">
        <v>9</v>
      </c>
      <c r="I383" s="1" t="s">
        <v>32</v>
      </c>
      <c r="J383" s="4" t="s">
        <v>36</v>
      </c>
      <c r="K383" s="1" t="s">
        <v>38</v>
      </c>
    </row>
    <row r="384" spans="1:11" x14ac:dyDescent="0.2">
      <c r="A384" s="30">
        <f>ROWS(B384:B$389)</f>
        <v>6</v>
      </c>
      <c r="B384" s="6" t="s">
        <v>496</v>
      </c>
      <c r="C384" s="1" t="s">
        <v>494</v>
      </c>
      <c r="D384" s="1" t="s">
        <v>494</v>
      </c>
      <c r="E384" s="1" t="s">
        <v>22</v>
      </c>
      <c r="F384" s="5">
        <v>41723</v>
      </c>
      <c r="G384" s="28">
        <v>1.125</v>
      </c>
      <c r="H384" s="1">
        <v>8</v>
      </c>
      <c r="I384" s="1" t="s">
        <v>32</v>
      </c>
      <c r="J384" s="4" t="s">
        <v>36</v>
      </c>
      <c r="K384" s="1" t="s">
        <v>38</v>
      </c>
    </row>
    <row r="385" spans="1:11" x14ac:dyDescent="0.2">
      <c r="A385" s="30">
        <f>ROWS(B385:B$389)</f>
        <v>5</v>
      </c>
      <c r="B385" s="6" t="s">
        <v>501</v>
      </c>
      <c r="C385" s="1" t="s">
        <v>494</v>
      </c>
      <c r="D385" s="1" t="s">
        <v>494</v>
      </c>
      <c r="E385" s="1" t="s">
        <v>30</v>
      </c>
      <c r="F385" s="5">
        <v>41713</v>
      </c>
      <c r="G385" s="28">
        <v>0.10416666666666667</v>
      </c>
      <c r="H385" s="1">
        <v>7</v>
      </c>
      <c r="I385" s="1" t="s">
        <v>32</v>
      </c>
      <c r="J385" s="4" t="s">
        <v>71</v>
      </c>
      <c r="K385" s="1" t="s">
        <v>38</v>
      </c>
    </row>
    <row r="386" spans="1:11" x14ac:dyDescent="0.2">
      <c r="A386" s="30">
        <f>ROWS(B386:B$389)</f>
        <v>4</v>
      </c>
      <c r="B386" s="6" t="s">
        <v>9</v>
      </c>
      <c r="C386" s="1" t="s">
        <v>494</v>
      </c>
      <c r="D386" s="1" t="s">
        <v>494</v>
      </c>
      <c r="E386" s="1" t="s">
        <v>25</v>
      </c>
      <c r="F386" s="5">
        <v>41743</v>
      </c>
      <c r="G386" s="28">
        <v>1.5416666666666667</v>
      </c>
      <c r="H386" s="1">
        <v>10</v>
      </c>
      <c r="I386" s="1" t="s">
        <v>32</v>
      </c>
      <c r="J386" s="4" t="s">
        <v>36</v>
      </c>
      <c r="K386" s="1" t="s">
        <v>37</v>
      </c>
    </row>
    <row r="387" spans="1:11" x14ac:dyDescent="0.2">
      <c r="A387" s="30">
        <f>ROWS(B387:B$389)</f>
        <v>3</v>
      </c>
      <c r="B387" s="6" t="s">
        <v>97</v>
      </c>
      <c r="C387" s="1" t="s">
        <v>494</v>
      </c>
      <c r="D387" s="1" t="s">
        <v>494</v>
      </c>
      <c r="E387" s="1" t="s">
        <v>27</v>
      </c>
      <c r="F387" s="5">
        <v>41720</v>
      </c>
      <c r="G387" s="28">
        <v>0.83333333333333337</v>
      </c>
      <c r="H387" s="1">
        <v>10</v>
      </c>
      <c r="I387" s="1" t="s">
        <v>32</v>
      </c>
      <c r="J387" s="4" t="s">
        <v>36</v>
      </c>
      <c r="K387" s="1" t="s">
        <v>37</v>
      </c>
    </row>
    <row r="388" spans="1:11" x14ac:dyDescent="0.2">
      <c r="A388" s="30">
        <f>ROWS(B388:B$389)</f>
        <v>2</v>
      </c>
      <c r="B388" s="6" t="s">
        <v>446</v>
      </c>
      <c r="C388" s="1" t="s">
        <v>494</v>
      </c>
      <c r="D388" s="1" t="s">
        <v>494</v>
      </c>
      <c r="E388" s="1" t="s">
        <v>29</v>
      </c>
      <c r="F388" s="5">
        <v>41720</v>
      </c>
      <c r="G388" s="28">
        <v>5.083333333333333</v>
      </c>
      <c r="H388" s="1">
        <v>7</v>
      </c>
      <c r="I388" s="1" t="s">
        <v>34</v>
      </c>
      <c r="J388" s="4" t="s">
        <v>437</v>
      </c>
      <c r="K388" s="1" t="s">
        <v>37</v>
      </c>
    </row>
    <row r="389" spans="1:11" x14ac:dyDescent="0.2">
      <c r="A389" s="30">
        <f>ROWS(B389:B$389)</f>
        <v>1</v>
      </c>
      <c r="B389" s="6" t="s">
        <v>499</v>
      </c>
      <c r="C389" s="1" t="s">
        <v>494</v>
      </c>
      <c r="D389" s="1" t="s">
        <v>494</v>
      </c>
      <c r="E389" s="1" t="s">
        <v>23</v>
      </c>
      <c r="F389" s="5">
        <v>41700</v>
      </c>
      <c r="G389" s="28">
        <v>1.875</v>
      </c>
      <c r="H389" s="1">
        <v>10</v>
      </c>
      <c r="I389" s="1" t="s">
        <v>32</v>
      </c>
      <c r="J389" s="4" t="s">
        <v>36</v>
      </c>
      <c r="K389" s="1" t="s">
        <v>37</v>
      </c>
    </row>
    <row r="390" spans="1:11" x14ac:dyDescent="0.2">
      <c r="A390" s="57"/>
    </row>
    <row r="391" spans="1:11" x14ac:dyDescent="0.2">
      <c r="A391" s="57"/>
    </row>
    <row r="392" spans="1:11" x14ac:dyDescent="0.2">
      <c r="A392" s="57"/>
    </row>
  </sheetData>
  <sheetProtection sort="0" autoFilter="0"/>
  <sortState xmlns:xlrd2="http://schemas.microsoft.com/office/spreadsheetml/2017/richdata2" ref="V4:W21">
    <sortCondition descending="1" ref="W4:W21"/>
  </sortState>
  <mergeCells count="15">
    <mergeCell ref="O49:P49"/>
    <mergeCell ref="O50:P50"/>
    <mergeCell ref="O52:P52"/>
    <mergeCell ref="O38:P38"/>
    <mergeCell ref="O41:P41"/>
    <mergeCell ref="O42:P42"/>
    <mergeCell ref="O43:P43"/>
    <mergeCell ref="O44:P44"/>
    <mergeCell ref="O45:P45"/>
    <mergeCell ref="O46:P46"/>
    <mergeCell ref="O47:P47"/>
    <mergeCell ref="O48:P48"/>
    <mergeCell ref="O40:P40"/>
    <mergeCell ref="O39:P39"/>
    <mergeCell ref="O51:P51"/>
  </mergeCells>
  <phoneticPr fontId="1" type="noConversion"/>
  <conditionalFormatting sqref="C1:T2 M3:N22 V3:W22 O3:T25 M24:N34 O26:Q29 R26:R1048576 O30:O57 M37:N53 S39:T1048576 Q51:Q1048576 M58:P1048576 C3:L1048576">
    <cfRule type="expression" dxfId="24" priority="16">
      <formula>OR(ISNUMBER(FIND("NES",C1)),    ISNUMBER(FIND("SNES",C1)),    ISNUMBER(FIND("N64",C1)),    ISNUMBER(FIND("GC",C1)),    ISNUMBER(FIND("Wii",C1)),    ISNUMBER(FIND("Wii U",C1)),    ISNUMBER(FIND("Switch",C1)),    ISNUMBER(FIND("Switch 2",C1)),    ISNUMBER(FIND("GB",C1)),    ISNUMBER(FIND("GBC",C1)),    ISNUMBER(FIND("GBA",C1)),    ISNUMBER(FIND("DS",C1)),    ISNUMBER(FIND("3DS",C1)))</formula>
    </cfRule>
  </conditionalFormatting>
  <conditionalFormatting sqref="C1:T2 M3:N22 V3:W22 O3:T25 M24:N34 O26:Q29 R26:R1048576 O30:O57 M37:N53 S39:T1048576 Q51:Q1048576 M58:P1048576 S26:T29 C3:L1048576">
    <cfRule type="expression" dxfId="23" priority="18">
      <formula>OR(ISNUMBER(FIND("X One",C1)),    ISNUMBER(FIND("X Series",C1)),    ISNUMBER(FIND("X 360",C1)))</formula>
    </cfRule>
  </conditionalFormatting>
  <conditionalFormatting sqref="C1:T2 M3:N22 V3:W22 O3:T25 M24:N34 O26:Q29 R26:R1048576 O30:O57 M37:N53 S39:T1048576 Q51:Q1048576 M58:P1048576 C3:L1048576">
    <cfRule type="expression" dxfId="22" priority="17">
      <formula>OR(ISNUMBER(FIND("PS1",C1)),    ISNUMBER(FIND("PS2",C1)),    ISNUMBER(FIND("PS3",C1)),    ISNUMBER(FIND("PS4",C1)),    ISNUMBER(FIND("PSP",C1)),    ISNUMBER(FIND("Vita",C1)))</formula>
    </cfRule>
  </conditionalFormatting>
  <conditionalFormatting sqref="C1:T2 M3:N22 V3:W22 O3:T25 M24:N34 O26:Q29 S26:T29 R26:R1048576 O30:O57 M37:N53 S39:T1048576 Q51:Q1048576 M58:P1048576 C3:L1048576">
    <cfRule type="expression" dxfId="21" priority="19">
      <formula>ISNUMBER(FIND("PC",C1))</formula>
    </cfRule>
    <cfRule type="expression" dxfId="20" priority="20">
      <formula>ISNUMBER(FIND("MD",C1))</formula>
    </cfRule>
  </conditionalFormatting>
  <conditionalFormatting sqref="M4:M14 H1:H1048576">
    <cfRule type="expression" dxfId="19" priority="11">
      <formula>OR(ISNUMBER(FIND("11",H1)),)</formula>
    </cfRule>
    <cfRule type="expression" dxfId="18" priority="12">
      <formula>OR(ISNUMBER(FIND("8",H1)),    ISNUMBER(FIND("9",H1)),    ISNUMBER(FIND("10",H1)),)</formula>
    </cfRule>
    <cfRule type="expression" dxfId="17" priority="13">
      <formula>OR(ISNUMBER(FIND("5",H1)),    ISNUMBER(FIND("6",H1)),    ISNUMBER(FIND("7",H1)),)</formula>
    </cfRule>
    <cfRule type="expression" dxfId="16" priority="14">
      <formula>OR(ISNUMBER(FIND("1",H1)),    ISNUMBER(FIND("2",H1)),    ISNUMBER(FIND("3",H1)),    ISNUMBER(FIND("4",H1)),)</formula>
    </cfRule>
  </conditionalFormatting>
  <conditionalFormatting sqref="K1:K1048576">
    <cfRule type="containsText" dxfId="15" priority="21" operator="containsText" text="Sim">
      <formula>NOT(ISERROR(SEARCH("Sim",K1)))</formula>
    </cfRule>
    <cfRule type="containsText" dxfId="14" priority="22" operator="containsText" text="Não">
      <formula>NOT(ISERROR(SEARCH("Não",K1)))</formula>
    </cfRule>
  </conditionalFormatting>
  <conditionalFormatting sqref="M1:M22 M24:M34 M37:M53 M58:M1048576 I1:I1048576">
    <cfRule type="containsText" dxfId="13" priority="23" operator="containsText" text="Fácil">
      <formula>NOT(ISERROR(SEARCH("Fácil",I1)))</formula>
    </cfRule>
    <cfRule type="containsText" dxfId="12" priority="24" operator="containsText" text="Médio">
      <formula>NOT(ISERROR(SEARCH("Médio",I1)))</formula>
    </cfRule>
    <cfRule type="containsText" dxfId="11" priority="25" operator="containsText" text="Difícil">
      <formula>NOT(ISERROR(SEARCH("Difícil",I1)))</formula>
    </cfRule>
    <cfRule type="containsText" dxfId="10" priority="26" operator="containsText" text="Hardcore">
      <formula>NOT(ISERROR(SEARCH("Hardcore",I1)))</formula>
    </cfRule>
  </conditionalFormatting>
  <conditionalFormatting sqref="P30:Q36">
    <cfRule type="expression" dxfId="9" priority="6">
      <formula>OR(ISNUMBER(FIND("NES",P30)),    ISNUMBER(FIND("SNES",P30)),    ISNUMBER(FIND("N64",P30)),    ISNUMBER(FIND("GC",P30)),    ISNUMBER(FIND("Wii",P30)),    ISNUMBER(FIND("Wii U",P30)),    ISNUMBER(FIND("Switch",P30)),    ISNUMBER(FIND("Switch 2",P30)),    ISNUMBER(FIND("GB",P30)),    ISNUMBER(FIND("GBC",P30)),    ISNUMBER(FIND("GBA",P30)),    ISNUMBER(FIND("DS",P30)),    ISNUMBER(FIND("3DS",P30)))</formula>
    </cfRule>
    <cfRule type="expression" dxfId="8" priority="7">
      <formula>OR(ISNUMBER(FIND("PS1",P30)),    ISNUMBER(FIND("PS2",P30)),    ISNUMBER(FIND("PS3",P30)),    ISNUMBER(FIND("PS4",P30)),    ISNUMBER(FIND("PSP",P30)),    ISNUMBER(FIND("Vita",P30)))</formula>
    </cfRule>
    <cfRule type="expression" dxfId="7" priority="8">
      <formula>OR(ISNUMBER(FIND("X One",P30)),    ISNUMBER(FIND("X Series",P30)),    ISNUMBER(FIND("X 360",P30)))</formula>
    </cfRule>
    <cfRule type="expression" dxfId="6" priority="9">
      <formula>ISNUMBER(FIND("PC",P30))</formula>
    </cfRule>
    <cfRule type="expression" dxfId="5" priority="10">
      <formula>ISNUMBER(FIND("MD",P30))</formula>
    </cfRule>
  </conditionalFormatting>
  <conditionalFormatting sqref="S26:T36">
    <cfRule type="expression" dxfId="4" priority="1">
      <formula>OR(ISNUMBER(FIND("NES",S26)),    ISNUMBER(FIND("SNES",S26)),    ISNUMBER(FIND("N64",S26)),    ISNUMBER(FIND("GC",S26)),    ISNUMBER(FIND("Wii",S26)),    ISNUMBER(FIND("Wii U",S26)),    ISNUMBER(FIND("Switch",S26)),    ISNUMBER(FIND("Switch 2",S26)),    ISNUMBER(FIND("GB",S26)),    ISNUMBER(FIND("GBC",S26)),    ISNUMBER(FIND("GBA",S26)),    ISNUMBER(FIND("DS",S26)),    ISNUMBER(FIND("3DS",S26)))</formula>
    </cfRule>
    <cfRule type="expression" dxfId="3" priority="2">
      <formula>OR(ISNUMBER(FIND("PS1",S26)),    ISNUMBER(FIND("PS2",S26)),    ISNUMBER(FIND("PS3",S26)),    ISNUMBER(FIND("PS4",S26)),    ISNUMBER(FIND("PSP",S26)),    ISNUMBER(FIND("Vita",S26)))</formula>
    </cfRule>
  </conditionalFormatting>
  <conditionalFormatting sqref="S30:T36">
    <cfRule type="expression" dxfId="2" priority="3">
      <formula>OR(ISNUMBER(FIND("X One", S30)), ISNUMBER(FIND("X Series", S30)), ISNUMBER(FIND("X 360", S30)))</formula>
    </cfRule>
    <cfRule type="expression" dxfId="1" priority="4">
      <formula>ISNUMBER(FIND("PC",S30))</formula>
    </cfRule>
    <cfRule type="expression" dxfId="0" priority="5">
      <formula>ISNUMBER(FIND("MD",S30))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7D29-749A-4F14-B178-B4ED7B7D6B3A}">
  <dimension ref="B2:P38"/>
  <sheetViews>
    <sheetView zoomScale="85" zoomScaleNormal="85" workbookViewId="0">
      <selection activeCell="C19" sqref="C19"/>
    </sheetView>
  </sheetViews>
  <sheetFormatPr defaultRowHeight="15" x14ac:dyDescent="0.25"/>
  <cols>
    <col min="1" max="1" width="1.7109375" customWidth="1"/>
    <col min="2" max="3" width="3.85546875" bestFit="1" customWidth="1"/>
    <col min="4" max="4" width="70" customWidth="1"/>
    <col min="5" max="5" width="1.7109375" customWidth="1"/>
    <col min="6" max="7" width="3.85546875" bestFit="1" customWidth="1"/>
    <col min="8" max="8" width="57" bestFit="1" customWidth="1"/>
    <col min="9" max="9" width="1.7109375" customWidth="1"/>
    <col min="10" max="11" width="3.85546875" bestFit="1" customWidth="1"/>
    <col min="12" max="12" width="67" bestFit="1" customWidth="1"/>
    <col min="13" max="13" width="1.7109375" customWidth="1"/>
    <col min="14" max="15" width="3.85546875" bestFit="1" customWidth="1"/>
    <col min="16" max="16" width="58.85546875" bestFit="1" customWidth="1"/>
  </cols>
  <sheetData>
    <row r="2" spans="2:16" ht="15.75" x14ac:dyDescent="0.25">
      <c r="B2" s="84" t="s">
        <v>378</v>
      </c>
      <c r="C2" s="84"/>
      <c r="D2" s="84"/>
      <c r="F2" s="84" t="s">
        <v>335</v>
      </c>
      <c r="G2" s="84"/>
      <c r="H2" s="84"/>
      <c r="J2" s="84" t="s">
        <v>270</v>
      </c>
      <c r="K2" s="84"/>
      <c r="L2" s="84"/>
      <c r="N2" s="84" t="s">
        <v>259</v>
      </c>
      <c r="O2" s="84"/>
      <c r="P2" s="84"/>
    </row>
    <row r="3" spans="2:16" ht="15.75" x14ac:dyDescent="0.25">
      <c r="B3" s="21" t="s">
        <v>290</v>
      </c>
      <c r="C3" s="21" t="s">
        <v>289</v>
      </c>
      <c r="D3" s="21" t="s">
        <v>1</v>
      </c>
      <c r="F3" s="21" t="s">
        <v>290</v>
      </c>
      <c r="G3" s="21" t="s">
        <v>289</v>
      </c>
      <c r="H3" s="21" t="s">
        <v>1</v>
      </c>
      <c r="J3" s="21" t="s">
        <v>290</v>
      </c>
      <c r="K3" s="21" t="s">
        <v>289</v>
      </c>
      <c r="L3" s="21" t="s">
        <v>1</v>
      </c>
      <c r="N3" s="21" t="s">
        <v>290</v>
      </c>
      <c r="O3" s="21" t="s">
        <v>289</v>
      </c>
      <c r="P3" s="21" t="s">
        <v>1</v>
      </c>
    </row>
    <row r="4" spans="2:16" ht="15.75" x14ac:dyDescent="0.25">
      <c r="B4" s="22">
        <v>1</v>
      </c>
      <c r="C4" s="21">
        <v>10</v>
      </c>
      <c r="D4" s="39" t="s">
        <v>397</v>
      </c>
      <c r="F4" s="22">
        <v>1</v>
      </c>
      <c r="G4" s="21">
        <v>10</v>
      </c>
      <c r="H4" s="23" t="s">
        <v>110</v>
      </c>
      <c r="J4" s="22">
        <v>1</v>
      </c>
      <c r="K4" s="21">
        <v>10</v>
      </c>
      <c r="L4" s="23" t="s">
        <v>277</v>
      </c>
      <c r="N4" s="22">
        <v>1</v>
      </c>
      <c r="O4" s="21">
        <v>11</v>
      </c>
      <c r="P4" s="23" t="s">
        <v>258</v>
      </c>
    </row>
    <row r="5" spans="2:16" ht="15.75" x14ac:dyDescent="0.25">
      <c r="B5" s="22">
        <v>2</v>
      </c>
      <c r="C5" s="21">
        <v>9</v>
      </c>
      <c r="D5" s="39" t="s">
        <v>78</v>
      </c>
      <c r="F5" s="22">
        <v>2</v>
      </c>
      <c r="G5" s="21">
        <v>10</v>
      </c>
      <c r="H5" s="23" t="s">
        <v>340</v>
      </c>
      <c r="J5" s="22">
        <v>2</v>
      </c>
      <c r="K5" s="21">
        <v>10</v>
      </c>
      <c r="L5" s="23" t="s">
        <v>275</v>
      </c>
      <c r="N5" s="22">
        <v>2</v>
      </c>
      <c r="O5" s="21">
        <v>10</v>
      </c>
      <c r="P5" s="23" t="s">
        <v>251</v>
      </c>
    </row>
    <row r="6" spans="2:16" ht="15.75" x14ac:dyDescent="0.25">
      <c r="B6" s="22">
        <v>3</v>
      </c>
      <c r="C6" s="21">
        <v>9</v>
      </c>
      <c r="D6" s="39" t="s">
        <v>388</v>
      </c>
      <c r="F6" s="22">
        <v>3</v>
      </c>
      <c r="G6" s="21">
        <v>9</v>
      </c>
      <c r="H6" s="23" t="s">
        <v>371</v>
      </c>
      <c r="J6" s="22">
        <v>3</v>
      </c>
      <c r="K6" s="21">
        <v>10</v>
      </c>
      <c r="L6" s="23" t="s">
        <v>333</v>
      </c>
      <c r="N6" s="22">
        <v>3</v>
      </c>
      <c r="O6" s="21">
        <v>10</v>
      </c>
      <c r="P6" s="23" t="s">
        <v>219</v>
      </c>
    </row>
    <row r="7" spans="2:16" ht="15.75" x14ac:dyDescent="0.25">
      <c r="B7" s="22">
        <v>4</v>
      </c>
      <c r="C7" s="21">
        <v>8</v>
      </c>
      <c r="D7" s="39" t="s">
        <v>394</v>
      </c>
      <c r="F7" s="22">
        <v>4</v>
      </c>
      <c r="G7" s="21">
        <v>9</v>
      </c>
      <c r="H7" s="23" t="s">
        <v>365</v>
      </c>
      <c r="J7" s="22">
        <v>4</v>
      </c>
      <c r="K7" s="21">
        <v>9</v>
      </c>
      <c r="L7" s="23" t="s">
        <v>269</v>
      </c>
      <c r="N7" s="22">
        <v>4</v>
      </c>
      <c r="O7" s="21">
        <v>10</v>
      </c>
      <c r="P7" s="23" t="s">
        <v>222</v>
      </c>
    </row>
    <row r="8" spans="2:16" ht="15.75" x14ac:dyDescent="0.25">
      <c r="B8" s="22">
        <v>5</v>
      </c>
      <c r="C8" s="21">
        <v>8</v>
      </c>
      <c r="D8" s="39" t="s">
        <v>389</v>
      </c>
      <c r="F8" s="22">
        <v>5</v>
      </c>
      <c r="G8" s="21">
        <v>9</v>
      </c>
      <c r="H8" s="23" t="s">
        <v>377</v>
      </c>
      <c r="J8" s="22">
        <v>5</v>
      </c>
      <c r="K8" s="21">
        <v>9</v>
      </c>
      <c r="L8" s="23" t="s">
        <v>274</v>
      </c>
      <c r="N8" s="22">
        <v>5</v>
      </c>
      <c r="O8" s="21">
        <v>10</v>
      </c>
      <c r="P8" s="23" t="s">
        <v>257</v>
      </c>
    </row>
    <row r="9" spans="2:16" ht="15.75" x14ac:dyDescent="0.25">
      <c r="B9" s="22">
        <v>6</v>
      </c>
      <c r="C9" s="21">
        <v>8</v>
      </c>
      <c r="D9" s="39" t="s">
        <v>118</v>
      </c>
      <c r="F9" s="22">
        <v>6</v>
      </c>
      <c r="G9" s="21">
        <v>8</v>
      </c>
      <c r="H9" s="27" t="s">
        <v>373</v>
      </c>
      <c r="J9" s="22">
        <v>6</v>
      </c>
      <c r="K9" s="21">
        <v>8</v>
      </c>
      <c r="L9" s="23" t="s">
        <v>266</v>
      </c>
      <c r="N9" s="22">
        <v>6</v>
      </c>
      <c r="O9" s="21">
        <v>10</v>
      </c>
      <c r="P9" s="23" t="s">
        <v>247</v>
      </c>
    </row>
    <row r="10" spans="2:16" ht="15.75" x14ac:dyDescent="0.25">
      <c r="B10" s="22">
        <v>7</v>
      </c>
      <c r="C10" s="21">
        <v>8</v>
      </c>
      <c r="D10" s="39" t="s">
        <v>383</v>
      </c>
      <c r="F10" s="22">
        <v>7</v>
      </c>
      <c r="G10" s="21">
        <v>8</v>
      </c>
      <c r="H10" s="27" t="s">
        <v>339</v>
      </c>
      <c r="J10" s="22">
        <v>7</v>
      </c>
      <c r="K10" s="21">
        <v>8</v>
      </c>
      <c r="L10" s="27" t="s">
        <v>286</v>
      </c>
      <c r="N10" s="22">
        <v>7</v>
      </c>
      <c r="O10" s="21">
        <v>10</v>
      </c>
      <c r="P10" s="23" t="s">
        <v>64</v>
      </c>
    </row>
    <row r="11" spans="2:16" ht="15.75" x14ac:dyDescent="0.25">
      <c r="B11" s="22">
        <v>8</v>
      </c>
      <c r="C11" s="21">
        <v>8</v>
      </c>
      <c r="D11" s="39" t="s">
        <v>390</v>
      </c>
      <c r="F11" s="22">
        <v>8</v>
      </c>
      <c r="G11" s="21">
        <v>8</v>
      </c>
      <c r="H11" s="27" t="s">
        <v>99</v>
      </c>
      <c r="J11" s="22">
        <v>8</v>
      </c>
      <c r="K11" s="21">
        <v>8</v>
      </c>
      <c r="L11" s="27" t="s">
        <v>276</v>
      </c>
      <c r="N11" s="22">
        <v>8</v>
      </c>
      <c r="O11" s="21">
        <v>10</v>
      </c>
      <c r="P11" s="23" t="s">
        <v>181</v>
      </c>
    </row>
    <row r="12" spans="2:16" ht="15.75" x14ac:dyDescent="0.25">
      <c r="B12" s="22">
        <v>9</v>
      </c>
      <c r="C12" s="21">
        <v>8</v>
      </c>
      <c r="D12" s="39" t="s">
        <v>400</v>
      </c>
      <c r="F12" s="22">
        <v>9</v>
      </c>
      <c r="G12" s="21">
        <v>8</v>
      </c>
      <c r="H12" s="27" t="s">
        <v>127</v>
      </c>
      <c r="J12" s="22">
        <v>9</v>
      </c>
      <c r="K12" s="21">
        <v>8</v>
      </c>
      <c r="L12" s="27" t="s">
        <v>122</v>
      </c>
      <c r="N12" s="22">
        <v>9</v>
      </c>
      <c r="O12" s="21">
        <v>10</v>
      </c>
      <c r="P12" s="23" t="s">
        <v>229</v>
      </c>
    </row>
    <row r="13" spans="2:16" ht="15.75" x14ac:dyDescent="0.25">
      <c r="B13" s="22">
        <v>10</v>
      </c>
      <c r="C13" s="21">
        <v>8</v>
      </c>
      <c r="D13" s="39" t="s">
        <v>391</v>
      </c>
      <c r="F13" s="22">
        <v>10</v>
      </c>
      <c r="G13" s="21">
        <v>8</v>
      </c>
      <c r="H13" s="27" t="s">
        <v>366</v>
      </c>
      <c r="J13" s="22">
        <v>10</v>
      </c>
      <c r="K13" s="21">
        <v>8</v>
      </c>
      <c r="L13" s="27" t="s">
        <v>265</v>
      </c>
      <c r="N13" s="22">
        <v>10</v>
      </c>
      <c r="O13" s="21">
        <v>10</v>
      </c>
      <c r="P13" s="23" t="s">
        <v>228</v>
      </c>
    </row>
    <row r="14" spans="2:16" ht="15.75" x14ac:dyDescent="0.25">
      <c r="B14" s="22">
        <v>11</v>
      </c>
      <c r="C14" s="21">
        <v>8</v>
      </c>
      <c r="D14" s="39" t="s">
        <v>399</v>
      </c>
      <c r="F14" s="22">
        <v>11</v>
      </c>
      <c r="G14" s="21">
        <v>8</v>
      </c>
      <c r="H14" s="24" t="s">
        <v>368</v>
      </c>
      <c r="J14" s="22">
        <v>11</v>
      </c>
      <c r="K14" s="21">
        <v>7</v>
      </c>
      <c r="L14" s="27" t="s">
        <v>152</v>
      </c>
      <c r="N14" s="22">
        <v>11</v>
      </c>
      <c r="O14" s="21">
        <v>10</v>
      </c>
      <c r="P14" s="27" t="s">
        <v>364</v>
      </c>
    </row>
    <row r="15" spans="2:16" ht="15.75" x14ac:dyDescent="0.25">
      <c r="B15" s="22">
        <v>12</v>
      </c>
      <c r="C15" s="21">
        <v>8</v>
      </c>
      <c r="D15" s="39" t="s">
        <v>387</v>
      </c>
      <c r="F15" s="22">
        <v>12</v>
      </c>
      <c r="G15" s="21">
        <v>8</v>
      </c>
      <c r="H15" s="24" t="s">
        <v>337</v>
      </c>
      <c r="J15" s="22">
        <v>12</v>
      </c>
      <c r="K15" s="21">
        <v>7</v>
      </c>
      <c r="L15" s="27" t="s">
        <v>284</v>
      </c>
      <c r="N15" s="22">
        <v>12</v>
      </c>
      <c r="O15" s="21">
        <v>9</v>
      </c>
      <c r="P15" s="27" t="s">
        <v>230</v>
      </c>
    </row>
    <row r="16" spans="2:16" ht="15.75" x14ac:dyDescent="0.25">
      <c r="B16" s="22">
        <v>13</v>
      </c>
      <c r="C16" s="21">
        <v>7</v>
      </c>
      <c r="D16" s="39" t="s">
        <v>403</v>
      </c>
      <c r="F16" s="22">
        <v>13</v>
      </c>
      <c r="G16" s="21">
        <v>8</v>
      </c>
      <c r="H16" s="24" t="s">
        <v>361</v>
      </c>
      <c r="J16" s="22">
        <v>13</v>
      </c>
      <c r="K16" s="21">
        <v>7</v>
      </c>
      <c r="L16" s="24" t="s">
        <v>287</v>
      </c>
      <c r="N16" s="22">
        <v>13</v>
      </c>
      <c r="O16" s="21">
        <v>9</v>
      </c>
      <c r="P16" s="27" t="s">
        <v>249</v>
      </c>
    </row>
    <row r="17" spans="2:16" ht="15.75" x14ac:dyDescent="0.25">
      <c r="B17" s="22">
        <v>14</v>
      </c>
      <c r="C17" s="21">
        <v>7</v>
      </c>
      <c r="D17" s="39" t="s">
        <v>384</v>
      </c>
      <c r="F17" s="22">
        <v>14</v>
      </c>
      <c r="G17" s="21">
        <v>7</v>
      </c>
      <c r="H17" s="24" t="s">
        <v>376</v>
      </c>
      <c r="J17" s="22">
        <v>14</v>
      </c>
      <c r="K17" s="21">
        <v>7</v>
      </c>
      <c r="L17" s="24" t="s">
        <v>278</v>
      </c>
      <c r="N17" s="22">
        <v>14</v>
      </c>
      <c r="O17" s="21">
        <v>9</v>
      </c>
      <c r="P17" s="27" t="s">
        <v>245</v>
      </c>
    </row>
    <row r="18" spans="2:16" ht="15.75" x14ac:dyDescent="0.25">
      <c r="B18" s="22">
        <v>15</v>
      </c>
      <c r="C18" s="21">
        <v>7</v>
      </c>
      <c r="D18" s="39" t="s">
        <v>512</v>
      </c>
      <c r="F18" s="22">
        <v>15</v>
      </c>
      <c r="G18" s="21">
        <v>7</v>
      </c>
      <c r="H18" s="24" t="s">
        <v>375</v>
      </c>
      <c r="J18" s="22">
        <v>15</v>
      </c>
      <c r="K18" s="21">
        <v>7</v>
      </c>
      <c r="L18" s="24" t="s">
        <v>288</v>
      </c>
      <c r="N18" s="22">
        <v>15</v>
      </c>
      <c r="O18" s="21">
        <v>9</v>
      </c>
      <c r="P18" s="27" t="s">
        <v>223</v>
      </c>
    </row>
    <row r="19" spans="2:16" ht="15.75" x14ac:dyDescent="0.25">
      <c r="B19" s="22">
        <v>16</v>
      </c>
      <c r="C19" s="21">
        <v>7</v>
      </c>
      <c r="D19" s="39" t="s">
        <v>382</v>
      </c>
      <c r="F19" s="22">
        <v>16</v>
      </c>
      <c r="G19" s="21">
        <v>7</v>
      </c>
      <c r="H19" s="25" t="s">
        <v>362</v>
      </c>
      <c r="J19" s="22">
        <v>16</v>
      </c>
      <c r="K19" s="21">
        <v>7</v>
      </c>
      <c r="L19" s="24" t="s">
        <v>267</v>
      </c>
      <c r="N19" s="22">
        <v>16</v>
      </c>
      <c r="O19" s="21">
        <v>9</v>
      </c>
      <c r="P19" s="27" t="s">
        <v>96</v>
      </c>
    </row>
    <row r="20" spans="2:16" ht="15.75" x14ac:dyDescent="0.25">
      <c r="B20" s="22">
        <v>17</v>
      </c>
      <c r="C20" s="21">
        <v>7</v>
      </c>
      <c r="D20" s="39" t="s">
        <v>404</v>
      </c>
      <c r="F20" s="22">
        <v>17</v>
      </c>
      <c r="G20" s="21">
        <v>6</v>
      </c>
      <c r="H20" s="25" t="s">
        <v>370</v>
      </c>
      <c r="J20" s="22">
        <v>17</v>
      </c>
      <c r="K20" s="21">
        <v>6</v>
      </c>
      <c r="L20" s="24" t="s">
        <v>291</v>
      </c>
      <c r="N20" s="22">
        <v>17</v>
      </c>
      <c r="O20" s="21">
        <v>9</v>
      </c>
      <c r="P20" s="27" t="s">
        <v>126</v>
      </c>
    </row>
    <row r="21" spans="2:16" ht="15.75" x14ac:dyDescent="0.25">
      <c r="B21" s="22">
        <v>18</v>
      </c>
      <c r="C21" s="21">
        <v>7</v>
      </c>
      <c r="D21" s="39" t="s">
        <v>508</v>
      </c>
      <c r="F21" s="22">
        <v>18</v>
      </c>
      <c r="G21" s="21">
        <v>6</v>
      </c>
      <c r="H21" s="25" t="s">
        <v>374</v>
      </c>
      <c r="J21" s="22">
        <v>18</v>
      </c>
      <c r="K21" s="21">
        <v>6</v>
      </c>
      <c r="L21" s="24" t="s">
        <v>283</v>
      </c>
      <c r="N21" s="22">
        <v>18</v>
      </c>
      <c r="O21" s="21">
        <v>9</v>
      </c>
      <c r="P21" s="27" t="s">
        <v>243</v>
      </c>
    </row>
    <row r="22" spans="2:16" ht="15.75" x14ac:dyDescent="0.25">
      <c r="B22" s="22">
        <v>19</v>
      </c>
      <c r="C22" s="21">
        <v>7</v>
      </c>
      <c r="D22" s="39" t="s">
        <v>509</v>
      </c>
      <c r="F22" s="22">
        <v>19</v>
      </c>
      <c r="G22" s="21">
        <v>6</v>
      </c>
      <c r="H22" s="25" t="s">
        <v>336</v>
      </c>
      <c r="J22" s="22">
        <v>19</v>
      </c>
      <c r="K22" s="21">
        <v>6</v>
      </c>
      <c r="L22" s="25" t="s">
        <v>285</v>
      </c>
      <c r="N22" s="22">
        <v>19</v>
      </c>
      <c r="O22" s="21">
        <v>9</v>
      </c>
      <c r="P22" s="27" t="s">
        <v>244</v>
      </c>
    </row>
    <row r="23" spans="2:16" ht="15.75" x14ac:dyDescent="0.25">
      <c r="B23" s="22">
        <v>20</v>
      </c>
      <c r="C23" s="21">
        <v>7</v>
      </c>
      <c r="D23" s="39" t="s">
        <v>405</v>
      </c>
      <c r="F23" s="22">
        <v>20</v>
      </c>
      <c r="G23" s="21">
        <v>6</v>
      </c>
      <c r="H23" s="25" t="s">
        <v>367</v>
      </c>
      <c r="J23" s="22">
        <v>20</v>
      </c>
      <c r="K23" s="21">
        <v>6</v>
      </c>
      <c r="L23" s="25" t="s">
        <v>281</v>
      </c>
      <c r="N23" s="22">
        <v>20</v>
      </c>
      <c r="O23" s="21">
        <v>9</v>
      </c>
      <c r="P23" s="27" t="s">
        <v>262</v>
      </c>
    </row>
    <row r="24" spans="2:16" ht="15.75" x14ac:dyDescent="0.25">
      <c r="B24" s="22">
        <v>21</v>
      </c>
      <c r="C24" s="21">
        <v>6</v>
      </c>
      <c r="D24" s="39" t="s">
        <v>396</v>
      </c>
      <c r="J24" s="22">
        <v>21</v>
      </c>
      <c r="K24" s="21">
        <v>6</v>
      </c>
      <c r="L24" s="25" t="s">
        <v>272</v>
      </c>
      <c r="N24" s="22">
        <v>21</v>
      </c>
      <c r="O24" s="21">
        <v>8</v>
      </c>
      <c r="P24" s="24" t="s">
        <v>261</v>
      </c>
    </row>
    <row r="25" spans="2:16" ht="15.75" x14ac:dyDescent="0.25">
      <c r="B25" s="22">
        <v>22</v>
      </c>
      <c r="C25" s="21">
        <v>6</v>
      </c>
      <c r="D25" s="39" t="s">
        <v>401</v>
      </c>
      <c r="J25" s="22">
        <v>22</v>
      </c>
      <c r="K25" s="21">
        <v>5</v>
      </c>
      <c r="L25" s="25" t="s">
        <v>279</v>
      </c>
      <c r="N25" s="22">
        <v>22</v>
      </c>
      <c r="O25" s="21">
        <v>8</v>
      </c>
      <c r="P25" s="24" t="s">
        <v>369</v>
      </c>
    </row>
    <row r="26" spans="2:16" ht="15.75" x14ac:dyDescent="0.25">
      <c r="B26" s="22">
        <v>23</v>
      </c>
      <c r="C26" s="21">
        <v>6</v>
      </c>
      <c r="D26" s="39" t="s">
        <v>386</v>
      </c>
      <c r="J26" s="22">
        <v>23</v>
      </c>
      <c r="K26" s="21">
        <v>4</v>
      </c>
      <c r="L26" s="25" t="s">
        <v>271</v>
      </c>
      <c r="N26" s="22">
        <v>23</v>
      </c>
      <c r="O26" s="21">
        <v>8</v>
      </c>
      <c r="P26" s="24" t="s">
        <v>221</v>
      </c>
    </row>
    <row r="27" spans="2:16" ht="15.75" x14ac:dyDescent="0.25">
      <c r="B27" s="22">
        <v>24</v>
      </c>
      <c r="C27" s="21">
        <v>6</v>
      </c>
      <c r="D27" s="39" t="s">
        <v>385</v>
      </c>
      <c r="J27" s="22">
        <v>24</v>
      </c>
      <c r="K27" s="21">
        <v>4</v>
      </c>
      <c r="L27" s="26" t="s">
        <v>280</v>
      </c>
      <c r="N27" s="22">
        <v>24</v>
      </c>
      <c r="O27" s="21">
        <v>8</v>
      </c>
      <c r="P27" s="24" t="s">
        <v>242</v>
      </c>
    </row>
    <row r="28" spans="2:16" ht="15.75" x14ac:dyDescent="0.25">
      <c r="B28" s="22">
        <v>25</v>
      </c>
      <c r="C28" s="21">
        <v>6</v>
      </c>
      <c r="D28" s="39" t="s">
        <v>507</v>
      </c>
      <c r="N28" s="22">
        <v>25</v>
      </c>
      <c r="O28" s="21">
        <v>8</v>
      </c>
      <c r="P28" s="24" t="s">
        <v>255</v>
      </c>
    </row>
    <row r="29" spans="2:16" ht="15.75" x14ac:dyDescent="0.25">
      <c r="B29" s="22">
        <v>26</v>
      </c>
      <c r="C29" s="21">
        <v>6</v>
      </c>
      <c r="D29" s="39" t="s">
        <v>379</v>
      </c>
      <c r="N29" s="22">
        <v>26</v>
      </c>
      <c r="O29" s="21">
        <v>8</v>
      </c>
      <c r="P29" s="24" t="s">
        <v>240</v>
      </c>
    </row>
    <row r="30" spans="2:16" ht="15.75" x14ac:dyDescent="0.25">
      <c r="N30" s="22">
        <v>27</v>
      </c>
      <c r="O30" s="21">
        <v>8</v>
      </c>
      <c r="P30" s="24" t="s">
        <v>218</v>
      </c>
    </row>
    <row r="31" spans="2:16" ht="15.75" x14ac:dyDescent="0.25">
      <c r="N31" s="22">
        <v>28</v>
      </c>
      <c r="O31" s="21">
        <v>7</v>
      </c>
      <c r="P31" s="24" t="s">
        <v>250</v>
      </c>
    </row>
    <row r="32" spans="2:16" ht="15.75" x14ac:dyDescent="0.25">
      <c r="N32" s="22">
        <v>29</v>
      </c>
      <c r="O32" s="21">
        <v>7</v>
      </c>
      <c r="P32" s="24" t="s">
        <v>252</v>
      </c>
    </row>
    <row r="33" spans="14:16" ht="15.75" x14ac:dyDescent="0.25">
      <c r="N33" s="22">
        <v>30</v>
      </c>
      <c r="O33" s="21">
        <v>7</v>
      </c>
      <c r="P33" s="24" t="s">
        <v>241</v>
      </c>
    </row>
    <row r="34" spans="14:16" ht="15.75" x14ac:dyDescent="0.25">
      <c r="N34" s="22">
        <v>31</v>
      </c>
      <c r="O34" s="21">
        <v>7</v>
      </c>
      <c r="P34" s="25" t="s">
        <v>220</v>
      </c>
    </row>
    <row r="35" spans="14:16" ht="15.75" x14ac:dyDescent="0.25">
      <c r="N35" s="22">
        <v>32</v>
      </c>
      <c r="O35" s="21">
        <v>6</v>
      </c>
      <c r="P35" s="25" t="s">
        <v>253</v>
      </c>
    </row>
    <row r="36" spans="14:16" ht="15.75" x14ac:dyDescent="0.25">
      <c r="N36" s="22">
        <v>33</v>
      </c>
      <c r="O36" s="21">
        <v>6</v>
      </c>
      <c r="P36" s="25" t="s">
        <v>248</v>
      </c>
    </row>
    <row r="37" spans="14:16" ht="15.75" x14ac:dyDescent="0.25">
      <c r="N37" s="22">
        <v>34</v>
      </c>
      <c r="O37" s="21">
        <v>6</v>
      </c>
      <c r="P37" s="25" t="s">
        <v>232</v>
      </c>
    </row>
    <row r="38" spans="14:16" ht="15.75" x14ac:dyDescent="0.25">
      <c r="N38" s="22">
        <v>35</v>
      </c>
      <c r="O38" s="21">
        <v>6</v>
      </c>
      <c r="P38" s="26" t="s">
        <v>231</v>
      </c>
    </row>
  </sheetData>
  <mergeCells count="4">
    <mergeCell ref="N2:P2"/>
    <mergeCell ref="J2:L2"/>
    <mergeCell ref="F2:H2"/>
    <mergeCell ref="B2:D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 Terminados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Antunes</dc:creator>
  <cp:lastModifiedBy>Luiz Antunes</cp:lastModifiedBy>
  <dcterms:created xsi:type="dcterms:W3CDTF">2022-04-27T19:08:32Z</dcterms:created>
  <dcterms:modified xsi:type="dcterms:W3CDTF">2026-10-12T14:22:20Z</dcterms:modified>
</cp:coreProperties>
</file>